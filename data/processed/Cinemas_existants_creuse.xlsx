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c\Documents\PROJET 2\Cinema_Project2\data\processed\"/>
    </mc:Choice>
  </mc:AlternateContent>
  <xr:revisionPtr revIDLastSave="0" documentId="13_ncr:1_{3F934E97-FB16-4A45-ADE6-314971CD8111}" xr6:coauthVersionLast="47" xr6:coauthVersionMax="47" xr10:uidLastSave="{00000000-0000-0000-0000-000000000000}"/>
  <bookViews>
    <workbookView xWindow="-110" yWindow="-110" windowWidth="19420" windowHeight="11500" tabRatio="831" firstSheet="2" activeTab="3" xr2:uid="{7A77E7FC-4943-42DE-A94E-87633AA40FB4}"/>
  </bookViews>
  <sheets>
    <sheet name="Cinemas" sheetId="1" r:id="rId1"/>
    <sheet name="Cine_CSP_Global" sheetId="6" r:id="rId2"/>
    <sheet name="Cine_Age_Global" sheetId="7" r:id="rId3"/>
    <sheet name="Population_creuse" sheetId="2" r:id="rId4"/>
    <sheet name="CSP_creuse" sheetId="3" r:id="rId5"/>
    <sheet name="Enfants_creuse" sheetId="4" r:id="rId6"/>
    <sheet name="prix_streaming" sheetId="8" r:id="rId7"/>
    <sheet name="prix_mensuel" sheetId="14" r:id="rId8"/>
    <sheet name="Confiseries" sheetId="10" r:id="rId9"/>
    <sheet name="gen_Vs_indpts" sheetId="11" r:id="rId10"/>
    <sheet name="programmation" sheetId="13" r:id="rId11"/>
    <sheet name="movies_type_shares" sheetId="12" r:id="rId12"/>
    <sheet name="Prix_cine_creuse" sheetId="9" r:id="rId13"/>
    <sheet name="Diplome_creuse" sheetId="5" r:id="rId14"/>
  </sheets>
  <definedNames>
    <definedName name="_xlnm._FilterDatabase" localSheetId="0" hidden="1">Cinemas!$A$1:$AC$8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C2" i="2"/>
  <c r="C3" i="2"/>
  <c r="C4" i="2"/>
  <c r="C5" i="2"/>
  <c r="C6" i="2"/>
  <c r="C7" i="2"/>
  <c r="C8" i="2"/>
  <c r="B3" i="2"/>
  <c r="B4" i="2"/>
  <c r="B5" i="2"/>
  <c r="B7" i="2"/>
  <c r="B8" i="2"/>
  <c r="B2" i="2"/>
  <c r="D13" i="8"/>
  <c r="D10" i="8"/>
  <c r="D9" i="8"/>
  <c r="D6" i="8"/>
  <c r="D3" i="8"/>
  <c r="C2" i="4"/>
  <c r="C3" i="4"/>
  <c r="C4" i="4"/>
  <c r="H5" i="11"/>
  <c r="I5" i="11"/>
  <c r="H6" i="11"/>
  <c r="I6" i="11"/>
  <c r="H7" i="11"/>
  <c r="I7" i="11"/>
  <c r="H8" i="11"/>
  <c r="I8" i="11"/>
  <c r="I4" i="11"/>
  <c r="H4" i="11"/>
</calcChain>
</file>

<file path=xl/sharedStrings.xml><?xml version="1.0" encoding="utf-8"?>
<sst xmlns="http://schemas.openxmlformats.org/spreadsheetml/2006/main" count="399" uniqueCount="263">
  <si>
    <t>régionCNC</t>
  </si>
  <si>
    <t>nom</t>
  </si>
  <si>
    <t>région administrative</t>
  </si>
  <si>
    <t>adresse</t>
  </si>
  <si>
    <t>code INSEE</t>
  </si>
  <si>
    <t>commune</t>
  </si>
  <si>
    <t>population de la commune</t>
  </si>
  <si>
    <t>DEP</t>
  </si>
  <si>
    <t>unité urbaine</t>
  </si>
  <si>
    <t>population unité urbaine</t>
  </si>
  <si>
    <t>situation géographique</t>
  </si>
  <si>
    <t>écrans</t>
  </si>
  <si>
    <t>fauteuils</t>
  </si>
  <si>
    <t>semaines d'activité</t>
  </si>
  <si>
    <t>séances</t>
  </si>
  <si>
    <t>entrées 2024</t>
  </si>
  <si>
    <t>entrées 2023</t>
  </si>
  <si>
    <t>évolution entrées</t>
  </si>
  <si>
    <t>tranche d'entrées</t>
  </si>
  <si>
    <t>genre</t>
  </si>
  <si>
    <t>nombre de films programmés</t>
  </si>
  <si>
    <t>nombre de films inédits</t>
  </si>
  <si>
    <t>PdM en entrées des films français</t>
  </si>
  <si>
    <t>PdM en entrées des films américains</t>
  </si>
  <si>
    <t>PdM en entrées des films européens</t>
  </si>
  <si>
    <t>PdM en entrées des autres films</t>
  </si>
  <si>
    <t>films Art et Essai</t>
  </si>
  <si>
    <t>part des séances de films Art et Essai</t>
  </si>
  <si>
    <t>PdM en entrées des films Art et Essai</t>
  </si>
  <si>
    <t>De 80 à 100 000 entrées</t>
  </si>
  <si>
    <t>FIXE</t>
  </si>
  <si>
    <t>De 10 à 20 000 entrées</t>
  </si>
  <si>
    <t>De 20 à 30 000 entrées</t>
  </si>
  <si>
    <t>De 2 à 5 000 entrées</t>
  </si>
  <si>
    <t>06-autres communes et unités urbaines</t>
  </si>
  <si>
    <t>NOUVELLE AQUITAINE</t>
  </si>
  <si>
    <t>Zone rurale</t>
  </si>
  <si>
    <t>ITINERANT</t>
  </si>
  <si>
    <t>COLBERT</t>
  </si>
  <si>
    <t>GRANDE RUE</t>
  </si>
  <si>
    <t>23008</t>
  </si>
  <si>
    <t>Aubusson</t>
  </si>
  <si>
    <t>23</t>
  </si>
  <si>
    <t>PLACE DE L HOTEL DE VILLE</t>
  </si>
  <si>
    <t>CINEMA CLAUDE MILLER</t>
  </si>
  <si>
    <t>23030</t>
  </si>
  <si>
    <t>Bourganeuf</t>
  </si>
  <si>
    <t>SALLE DES FETES</t>
  </si>
  <si>
    <t>ALPHA</t>
  </si>
  <si>
    <t>LE MARCHOIS</t>
  </si>
  <si>
    <t>RUE DES DEUX FRERES</t>
  </si>
  <si>
    <t>23067</t>
  </si>
  <si>
    <t>La Courtine</t>
  </si>
  <si>
    <t>23075</t>
  </si>
  <si>
    <t>Dun-le-Palestel</t>
  </si>
  <si>
    <t>RUE DE RENTIERE</t>
  </si>
  <si>
    <t>23076</t>
  </si>
  <si>
    <t>Évaux-les-Bains</t>
  </si>
  <si>
    <t>EDEN</t>
  </si>
  <si>
    <t>SENECHAL</t>
  </si>
  <si>
    <t>1 RUE DU SENECHAL</t>
  </si>
  <si>
    <t>23096</t>
  </si>
  <si>
    <t>Guéret</t>
  </si>
  <si>
    <t>PLACE ST JACQUES</t>
  </si>
  <si>
    <t>23176</t>
  </si>
  <si>
    <t>La Souterraine</t>
  </si>
  <si>
    <t>Hommes</t>
  </si>
  <si>
    <t>Femmes</t>
  </si>
  <si>
    <t>Ensemble</t>
  </si>
  <si>
    <t>13,5</t>
  </si>
  <si>
    <t>15,1</t>
  </si>
  <si>
    <t>20,9</t>
  </si>
  <si>
    <t>Groupe socioprofessionnel</t>
  </si>
  <si>
    <t>Agriculteurs exploitants</t>
  </si>
  <si>
    <t>1,5</t>
  </si>
  <si>
    <t>Artisans, commerçants, chefs d'entreprise</t>
  </si>
  <si>
    <t>2,0</t>
  </si>
  <si>
    <t>Cadres et professions intellectuelles supérieures</t>
  </si>
  <si>
    <t>2,4</t>
  </si>
  <si>
    <t>Professions intermédiaires</t>
  </si>
  <si>
    <t>Employés</t>
  </si>
  <si>
    <t>5,9</t>
  </si>
  <si>
    <t>Ouvriers</t>
  </si>
  <si>
    <t>18,7</t>
  </si>
  <si>
    <t>Retraités</t>
  </si>
  <si>
    <t>Autres personnes sans activité professionnelle</t>
  </si>
  <si>
    <t>9,5</t>
  </si>
  <si>
    <t>5,2</t>
  </si>
  <si>
    <t>39,6</t>
  </si>
  <si>
    <t>2,2</t>
  </si>
  <si>
    <t>7,5</t>
  </si>
  <si>
    <t>8,2</t>
  </si>
  <si>
    <t>2,8</t>
  </si>
  <si>
    <t>Diplôme</t>
  </si>
  <si>
    <t>Population non scolarisée de 15 ans ou plus</t>
  </si>
  <si>
    <t>Part des titulaires en %</t>
  </si>
  <si>
    <t>Aucun diplôme ou certificat d'études primaires</t>
  </si>
  <si>
    <t>22,2</t>
  </si>
  <si>
    <t>19,2</t>
  </si>
  <si>
    <t>24,9</t>
  </si>
  <si>
    <t>BEPC, brevet des collèges, DNB</t>
  </si>
  <si>
    <t>6,8</t>
  </si>
  <si>
    <t>5,4</t>
  </si>
  <si>
    <t>CAP, BEP ou équivalent</t>
  </si>
  <si>
    <t>30,2</t>
  </si>
  <si>
    <t>37,0</t>
  </si>
  <si>
    <t>23,8</t>
  </si>
  <si>
    <t>Baccalauréat, brevet professionnel ou équivalent</t>
  </si>
  <si>
    <t>18,6</t>
  </si>
  <si>
    <t>18,9</t>
  </si>
  <si>
    <t>Diplôme de l'enseignement supérieur de niveau bac + 2</t>
  </si>
  <si>
    <t>8,9</t>
  </si>
  <si>
    <t>10,1</t>
  </si>
  <si>
    <t>Diplôme de l'enseignement supérieur de niveau bac + 3 ou bac + 4</t>
  </si>
  <si>
    <t>Diplôme de l'enseignement supérieur de niveau bac + 5 ou plus</t>
  </si>
  <si>
    <t>5,1</t>
  </si>
  <si>
    <t>Catégorie socioprofessionnelle</t>
  </si>
  <si>
    <t>Aucune fois</t>
  </si>
  <si>
    <t>De 1 à 3 fois</t>
  </si>
  <si>
    <t>Plus de 3 fois</t>
  </si>
  <si>
    <t>Ne sait pas / Refus</t>
  </si>
  <si>
    <t>65,2</t>
  </si>
  <si>
    <t>28,2</t>
  </si>
  <si>
    <t>0,8</t>
  </si>
  <si>
    <t>61,0</t>
  </si>
  <si>
    <t>9,2</t>
  </si>
  <si>
    <t>1,6</t>
  </si>
  <si>
    <t>34,7</t>
  </si>
  <si>
    <t>24,4</t>
  </si>
  <si>
    <t>1,3</t>
  </si>
  <si>
    <t>42,9</t>
  </si>
  <si>
    <t>38,4</t>
  </si>
  <si>
    <t>17,3</t>
  </si>
  <si>
    <t>54,5</t>
  </si>
  <si>
    <t>30,6</t>
  </si>
  <si>
    <t>12,8</t>
  </si>
  <si>
    <t>2,1</t>
  </si>
  <si>
    <t>Ouvriers (y compris ouvriers agricoles)</t>
  </si>
  <si>
    <t>66,9</t>
  </si>
  <si>
    <t>23,0</t>
  </si>
  <si>
    <t>7,4</t>
  </si>
  <si>
    <t>2,7</t>
  </si>
  <si>
    <t>75,1</t>
  </si>
  <si>
    <t>15,4</t>
  </si>
  <si>
    <t>Autres inactifs</t>
  </si>
  <si>
    <t>42,7</t>
  </si>
  <si>
    <t>5,8</t>
  </si>
  <si>
    <t>57,6</t>
  </si>
  <si>
    <t>26,7</t>
  </si>
  <si>
    <t>42,3</t>
  </si>
  <si>
    <t>28,9</t>
  </si>
  <si>
    <t>27,8</t>
  </si>
  <si>
    <t>38,0</t>
  </si>
  <si>
    <t>26,8</t>
  </si>
  <si>
    <t>25,8</t>
  </si>
  <si>
    <t>40,1</t>
  </si>
  <si>
    <t>6,3</t>
  </si>
  <si>
    <t>45,6</t>
  </si>
  <si>
    <t>37,4</t>
  </si>
  <si>
    <t>46,8</t>
  </si>
  <si>
    <t>33,9</t>
  </si>
  <si>
    <t>16,6</t>
  </si>
  <si>
    <t>46,2</t>
  </si>
  <si>
    <t>35,7</t>
  </si>
  <si>
    <t>15,8</t>
  </si>
  <si>
    <t>56,8</t>
  </si>
  <si>
    <t>29,5</t>
  </si>
  <si>
    <t>12,3</t>
  </si>
  <si>
    <t>57,7</t>
  </si>
  <si>
    <t>28,7</t>
  </si>
  <si>
    <t>11,8</t>
  </si>
  <si>
    <t>1,7</t>
  </si>
  <si>
    <t>57,3</t>
  </si>
  <si>
    <t>29,1</t>
  </si>
  <si>
    <t>12,1</t>
  </si>
  <si>
    <t>74,8</t>
  </si>
  <si>
    <t>15,3</t>
  </si>
  <si>
    <t>1,1</t>
  </si>
  <si>
    <t>78,5</t>
  </si>
  <si>
    <t>13,0</t>
  </si>
  <si>
    <t>7,3</t>
  </si>
  <si>
    <t>76,4</t>
  </si>
  <si>
    <t>14,3</t>
  </si>
  <si>
    <t>1,2</t>
  </si>
  <si>
    <t>Age</t>
  </si>
  <si>
    <t>16-24</t>
  </si>
  <si>
    <t>25-39</t>
  </si>
  <si>
    <t>40-59</t>
  </si>
  <si>
    <t>60+</t>
  </si>
  <si>
    <t>Étiquettes de lignes</t>
  </si>
  <si>
    <t>Total général</t>
  </si>
  <si>
    <t>Nombre de Aucune fois</t>
  </si>
  <si>
    <t>Nombre de De 1 à 3 fois</t>
  </si>
  <si>
    <t>Nombre de Plus de 3 fois</t>
  </si>
  <si>
    <t>Nombre de Ne sait pas / Refus</t>
  </si>
  <si>
    <t>1to3</t>
  </si>
  <si>
    <t>3+</t>
  </si>
  <si>
    <t>Gender</t>
  </si>
  <si>
    <t>No answer</t>
  </si>
  <si>
    <t>Never</t>
  </si>
  <si>
    <t>0-14</t>
  </si>
  <si>
    <t>15-29</t>
  </si>
  <si>
    <t>30-44</t>
  </si>
  <si>
    <t>45-59</t>
  </si>
  <si>
    <t>60-74</t>
  </si>
  <si>
    <t>75-89</t>
  </si>
  <si>
    <t>90+</t>
  </si>
  <si>
    <t>Men</t>
  </si>
  <si>
    <t>Women</t>
  </si>
  <si>
    <t>Family_Type</t>
  </si>
  <si>
    <t>Total</t>
  </si>
  <si>
    <t>Couples with child(ren)</t>
  </si>
  <si>
    <t>Single-parent families</t>
  </si>
  <si>
    <t>Childless couples</t>
  </si>
  <si>
    <t>Netflix</t>
  </si>
  <si>
    <t>Amazon Prime Vidéo</t>
  </si>
  <si>
    <t>Disney+</t>
  </si>
  <si>
    <t>HBO Max</t>
  </si>
  <si>
    <t>Canal+ Séries</t>
  </si>
  <si>
    <t>Pack Canal+ Ciné Séries</t>
  </si>
  <si>
    <t>Ciné+ OCS</t>
  </si>
  <si>
    <t>Apple TV</t>
  </si>
  <si>
    <t>Paramount+</t>
  </si>
  <si>
    <t>Universal+</t>
  </si>
  <si>
    <t>DAZN</t>
  </si>
  <si>
    <t>Molotov Extra</t>
  </si>
  <si>
    <t>TF1+</t>
  </si>
  <si>
    <t>https://www.ariase.com/streaming/dossiers/comparatif-meilleur-service-streaming</t>
  </si>
  <si>
    <t>Gaumont / Pathé</t>
  </si>
  <si>
    <t>UGC / mk2</t>
  </si>
  <si>
    <t>type</t>
  </si>
  <si>
    <t>streaming</t>
  </si>
  <si>
    <t>cinema</t>
  </si>
  <si>
    <t>CinéPass (Gaumont/Pathé) – tarifs et formules (abonnement illimité) 
Pathé
UGC Illimité – tarifs formules cinéma illimité 
UGC
CGR Cinémas – cartes de places 
cgrcinemas.fr
Kinépolis Pass Ciné – cartes places 
kinepolis.fr
Cinéma Sénéchal (Guéret) – cartes abonnement 5/10 places 
cinema-senechal.com
Cinéma Alpha (Évaux-les-Bains) – offre carte 10 places signalée 
creuseconfluence.com
Cinéma Eden (La Souterraine) – tarifs séance</t>
  </si>
  <si>
    <t>Sources</t>
  </si>
  <si>
    <t>Année</t>
  </si>
  <si>
    <t>Part des spectateurs achetant confiseries/boissons (%)</t>
  </si>
  <si>
    <t>Indice CA confiseries (base 2019 = 100)</t>
  </si>
  <si>
    <t>Type de films</t>
  </si>
  <si>
    <t>Grandes chaînes (multiplexes)</t>
  </si>
  <si>
    <t>Cinémas indépendants / Art &amp; Essai</t>
  </si>
  <si>
    <t>Films américains grand public</t>
  </si>
  <si>
    <t>Films français grand public</t>
  </si>
  <si>
    <t>Films Art &amp; Essai (EU, monde, auteurs)</t>
  </si>
  <si>
    <t>Films patrimoine / reprises</t>
  </si>
  <si>
    <t>Documentaires / films de niche</t>
  </si>
  <si>
    <r>
      <t xml:space="preserve">CNC – </t>
    </r>
    <r>
      <rPr>
        <i/>
        <sz val="11"/>
        <color theme="1"/>
        <rFont val="Aptos Narrow"/>
        <family val="2"/>
        <scheme val="minor"/>
      </rPr>
      <t>Bilan de la diffusion des films en salles</t>
    </r>
  </si>
  <si>
    <t>Min</t>
  </si>
  <si>
    <t>Max</t>
  </si>
  <si>
    <t>Part des entrées nationales</t>
  </si>
  <si>
    <t>Où sont-elles réalisées ?</t>
  </si>
  <si>
    <t>Blockbusters US</t>
  </si>
  <si>
    <t>Majoritairement en chaînes</t>
  </si>
  <si>
    <t>Films français</t>
  </si>
  <si>
    <t>Mix chaînes / indépendants</t>
  </si>
  <si>
    <t>Films Art &amp; Essai</t>
  </si>
  <si>
    <t>Majoritairement indépendants</t>
  </si>
  <si>
    <r>
      <t xml:space="preserve">CNC – </t>
    </r>
    <r>
      <rPr>
        <i/>
        <sz val="11"/>
        <color theme="1"/>
        <rFont val="Aptos Narrow"/>
        <family val="2"/>
        <scheme val="minor"/>
      </rPr>
      <t>La fréquentation des salles de cinéma</t>
    </r>
  </si>
  <si>
    <t>Plateforme</t>
  </si>
  <si>
    <t>Prix mini mensuel</t>
  </si>
  <si>
    <t>Prix maxi mensuel</t>
  </si>
  <si>
    <t>Prix mini mensuel moyen</t>
  </si>
  <si>
    <t>Prix maxi mensuel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</si>
</sst>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* #,##0.00\ [$€-40C]_-;\-* #,##0.00\ [$€-40C]_-;_-* &quot;-&quot;??\ [$€-40C]_-;_-@_-"/>
    <numFmt numFmtId="166" formatCode="_([$€-2]\ * #,##0.00_);_([$€-2]\ * \(#,##0.00\);_([$€-2]\ * &quot;-&quot;?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7"/>
      <color rgb="FFFFFFFF"/>
      <name val="Inherit"/>
    </font>
    <font>
      <b/>
      <sz val="7"/>
      <color rgb="FF525457"/>
      <name val="Inherit"/>
    </font>
    <font>
      <sz val="7"/>
      <color rgb="FF525457"/>
      <name val="Inherit"/>
    </font>
    <font>
      <b/>
      <sz val="11"/>
      <color theme="1"/>
      <name val="Aptos Narrow"/>
      <family val="2"/>
      <scheme val="minor"/>
    </font>
    <font>
      <sz val="9.6"/>
      <color rgb="FF111827"/>
      <name val="Arial"/>
      <family val="2"/>
    </font>
    <font>
      <sz val="9.6"/>
      <color rgb="FF1F2937"/>
      <name val="Arial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 style="thin">
        <color rgb="FFE0E0E0"/>
      </right>
      <top/>
      <bottom style="medium">
        <color rgb="FFE0E0E0"/>
      </bottom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thin">
        <color rgb="FFE0E0E0"/>
      </right>
      <top/>
      <bottom style="medium">
        <color rgb="FFE0E0E0"/>
      </bottom>
      <diagonal/>
    </border>
    <border>
      <left/>
      <right/>
      <top/>
      <bottom style="medium">
        <color rgb="FFF2F2F2"/>
      </bottom>
      <diagonal/>
    </border>
    <border>
      <left/>
      <right/>
      <top style="medium">
        <color rgb="FFF2F2F2"/>
      </top>
      <bottom/>
      <diagonal/>
    </border>
  </borders>
  <cellStyleXfs count="7">
    <xf numFmtId="0" fontId="0" fillId="0" borderId="0"/>
    <xf numFmtId="0" fontId="2" fillId="0" borderId="0"/>
    <xf numFmtId="0" fontId="4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5" fillId="0" borderId="0" xfId="2" applyFont="1" applyAlignment="1">
      <alignment horizontal="center"/>
    </xf>
    <xf numFmtId="0" fontId="6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0" fontId="3" fillId="0" borderId="0" xfId="1" applyFont="1"/>
    <xf numFmtId="0" fontId="7" fillId="0" borderId="0" xfId="2" applyFont="1" applyAlignment="1">
      <alignment horizontal="right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3" fontId="7" fillId="0" borderId="0" xfId="2" applyNumberFormat="1" applyFont="1" applyAlignment="1">
      <alignment horizontal="right"/>
    </xf>
    <xf numFmtId="3" fontId="7" fillId="0" borderId="0" xfId="2" applyNumberFormat="1" applyFont="1" applyAlignment="1">
      <alignment horizontal="left"/>
    </xf>
    <xf numFmtId="0" fontId="7" fillId="0" borderId="0" xfId="3" applyFont="1"/>
    <xf numFmtId="164" fontId="7" fillId="0" borderId="0" xfId="4" applyNumberFormat="1" applyFont="1" applyAlignment="1">
      <alignment horizontal="right"/>
    </xf>
    <xf numFmtId="164" fontId="7" fillId="0" borderId="0" xfId="4" applyNumberFormat="1" applyFont="1"/>
    <xf numFmtId="0" fontId="0" fillId="2" borderId="0" xfId="0" applyFill="1"/>
    <xf numFmtId="0" fontId="9" fillId="4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/>
    </xf>
    <xf numFmtId="0" fontId="0" fillId="2" borderId="4" xfId="0" applyFill="1" applyBorder="1"/>
    <xf numFmtId="0" fontId="10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0" fillId="2" borderId="0" xfId="0" applyNumberFormat="1" applyFill="1"/>
    <xf numFmtId="49" fontId="0" fillId="2" borderId="4" xfId="0" applyNumberFormat="1" applyFill="1" applyBorder="1"/>
    <xf numFmtId="49" fontId="0" fillId="0" borderId="0" xfId="0" applyNumberFormat="1"/>
    <xf numFmtId="49" fontId="0" fillId="0" borderId="0" xfId="0" pivotButton="1" applyNumberFormat="1"/>
    <xf numFmtId="0" fontId="13" fillId="2" borderId="10" xfId="0" applyFont="1" applyFill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2" borderId="11" xfId="0" applyFont="1" applyFill="1" applyBorder="1" applyAlignment="1">
      <alignment vertical="center" wrapText="1"/>
    </xf>
    <xf numFmtId="0" fontId="0" fillId="5" borderId="0" xfId="0" applyFill="1" applyAlignment="1">
      <alignment wrapText="1"/>
    </xf>
    <xf numFmtId="165" fontId="13" fillId="2" borderId="10" xfId="0" applyNumberFormat="1" applyFont="1" applyFill="1" applyBorder="1" applyAlignment="1">
      <alignment vertical="center" wrapText="1"/>
    </xf>
    <xf numFmtId="165" fontId="12" fillId="2" borderId="10" xfId="0" applyNumberFormat="1" applyFont="1" applyFill="1" applyBorder="1" applyAlignment="1">
      <alignment vertical="center" wrapText="1"/>
    </xf>
    <xf numFmtId="165" fontId="12" fillId="2" borderId="0" xfId="0" applyNumberFormat="1" applyFont="1" applyFill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14" fillId="5" borderId="0" xfId="6" applyFill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9" fontId="0" fillId="0" borderId="0" xfId="5" applyFont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7">
    <cellStyle name="Lien hypertexte" xfId="6" builtinId="8"/>
    <cellStyle name="Normal" xfId="0" builtinId="0"/>
    <cellStyle name="Normal 2" xfId="1" xr:uid="{21352A2A-759D-4496-9EAB-B3348208B7AA}"/>
    <cellStyle name="Normal 3" xfId="3" xr:uid="{1F1A4350-3D10-4BA6-A560-864799807CAC}"/>
    <cellStyle name="Normal_Feuil1" xfId="2" xr:uid="{9E6A0F47-A47F-45F6-98C7-0488941850E8}"/>
    <cellStyle name="Pourcentage" xfId="5" builtinId="5"/>
    <cellStyle name="Pourcentage 2" xfId="4" xr:uid="{F6872FA5-BE24-4FE3-A2F3-FB52DD0A6392}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Coût abonnement mensuel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prix_streaming!$C$1</c:f>
              <c:strCache>
                <c:ptCount val="1"/>
                <c:pt idx="0">
                  <c:v> Prix mini mensuel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prix_streaming!$A$2:$B$16</c15:sqref>
                  </c15:fullRef>
                  <c15:levelRef>
                    <c15:sqref>prix_streaming!$B$2:$B$16</c15:sqref>
                  </c15:levelRef>
                </c:ext>
              </c:extLst>
              <c:f>prix_streaming!$B$2:$B$16</c:f>
              <c:strCache>
                <c:ptCount val="15"/>
                <c:pt idx="0">
                  <c:v>Netflix</c:v>
                </c:pt>
                <c:pt idx="1">
                  <c:v>Amazon Prime Vidéo</c:v>
                </c:pt>
                <c:pt idx="2">
                  <c:v>Disney+</c:v>
                </c:pt>
                <c:pt idx="3">
                  <c:v>HBO Max</c:v>
                </c:pt>
                <c:pt idx="4">
                  <c:v>Canal+ Séries</c:v>
                </c:pt>
                <c:pt idx="5">
                  <c:v>Pack Canal+ Ciné Séries</c:v>
                </c:pt>
                <c:pt idx="6">
                  <c:v>Ciné+ OCS</c:v>
                </c:pt>
                <c:pt idx="7">
                  <c:v>Apple TV</c:v>
                </c:pt>
                <c:pt idx="8">
                  <c:v>Paramount+</c:v>
                </c:pt>
                <c:pt idx="9">
                  <c:v>Universal+</c:v>
                </c:pt>
                <c:pt idx="10">
                  <c:v>DAZN</c:v>
                </c:pt>
                <c:pt idx="11">
                  <c:v>Molotov Extra</c:v>
                </c:pt>
                <c:pt idx="12">
                  <c:v>TF1+</c:v>
                </c:pt>
                <c:pt idx="13">
                  <c:v>Gaumont / Pathé</c:v>
                </c:pt>
                <c:pt idx="14">
                  <c:v>UGC / mk2</c:v>
                </c:pt>
              </c:strCache>
            </c:strRef>
          </c:cat>
          <c:val>
            <c:numRef>
              <c:f>prix_streaming!$C$2:$C$16</c:f>
              <c:numCache>
                <c:formatCode>_-* #,##0.00\ [$€-40C]_-;\-* #,##0.00\ [$€-40C]_-;_-* "-"??\ [$€-40C]_-;_-@_-</c:formatCode>
                <c:ptCount val="15"/>
                <c:pt idx="0">
                  <c:v>7.99</c:v>
                </c:pt>
                <c:pt idx="1">
                  <c:v>6.99</c:v>
                </c:pt>
                <c:pt idx="2">
                  <c:v>5.99</c:v>
                </c:pt>
                <c:pt idx="3">
                  <c:v>5.99</c:v>
                </c:pt>
                <c:pt idx="4">
                  <c:v>6.99</c:v>
                </c:pt>
                <c:pt idx="5">
                  <c:v>34.99</c:v>
                </c:pt>
                <c:pt idx="6">
                  <c:v>10.99</c:v>
                </c:pt>
                <c:pt idx="7">
                  <c:v>6.99</c:v>
                </c:pt>
                <c:pt idx="8">
                  <c:v>7.99</c:v>
                </c:pt>
                <c:pt idx="9">
                  <c:v>8.99</c:v>
                </c:pt>
                <c:pt idx="10">
                  <c:v>14.99</c:v>
                </c:pt>
                <c:pt idx="11">
                  <c:v>5.99</c:v>
                </c:pt>
                <c:pt idx="12">
                  <c:v>0</c:v>
                </c:pt>
                <c:pt idx="13">
                  <c:v>19.899999999999999</c:v>
                </c:pt>
                <c:pt idx="14">
                  <c:v>23.9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7-4A35-8B6F-FFAD6657EF0C}"/>
            </c:ext>
          </c:extLst>
        </c:ser>
        <c:ser>
          <c:idx val="1"/>
          <c:order val="1"/>
          <c:tx>
            <c:strRef>
              <c:f>prix_streaming!$D$1</c:f>
              <c:strCache>
                <c:ptCount val="1"/>
                <c:pt idx="0">
                  <c:v> Prix maxi mensuel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prix_streaming!$A$2:$B$16</c15:sqref>
                  </c15:fullRef>
                  <c15:levelRef>
                    <c15:sqref>prix_streaming!$B$2:$B$16</c15:sqref>
                  </c15:levelRef>
                </c:ext>
              </c:extLst>
              <c:f>prix_streaming!$B$2:$B$16</c:f>
              <c:strCache>
                <c:ptCount val="15"/>
                <c:pt idx="0">
                  <c:v>Netflix</c:v>
                </c:pt>
                <c:pt idx="1">
                  <c:v>Amazon Prime Vidéo</c:v>
                </c:pt>
                <c:pt idx="2">
                  <c:v>Disney+</c:v>
                </c:pt>
                <c:pt idx="3">
                  <c:v>HBO Max</c:v>
                </c:pt>
                <c:pt idx="4">
                  <c:v>Canal+ Séries</c:v>
                </c:pt>
                <c:pt idx="5">
                  <c:v>Pack Canal+ Ciné Séries</c:v>
                </c:pt>
                <c:pt idx="6">
                  <c:v>Ciné+ OCS</c:v>
                </c:pt>
                <c:pt idx="7">
                  <c:v>Apple TV</c:v>
                </c:pt>
                <c:pt idx="8">
                  <c:v>Paramount+</c:v>
                </c:pt>
                <c:pt idx="9">
                  <c:v>Universal+</c:v>
                </c:pt>
                <c:pt idx="10">
                  <c:v>DAZN</c:v>
                </c:pt>
                <c:pt idx="11">
                  <c:v>Molotov Extra</c:v>
                </c:pt>
                <c:pt idx="12">
                  <c:v>TF1+</c:v>
                </c:pt>
                <c:pt idx="13">
                  <c:v>Gaumont / Pathé</c:v>
                </c:pt>
                <c:pt idx="14">
                  <c:v>UGC / mk2</c:v>
                </c:pt>
              </c:strCache>
            </c:strRef>
          </c:cat>
          <c:val>
            <c:numRef>
              <c:f>prix_streaming!$D$2:$D$16</c:f>
              <c:numCache>
                <c:formatCode>_-* #,##0.00\ [$€-40C]_-;\-* #,##0.00\ [$€-40C]_-;_-* "-"??\ [$€-40C]_-;_-@_-</c:formatCode>
                <c:ptCount val="15"/>
                <c:pt idx="0">
                  <c:v>21.99</c:v>
                </c:pt>
                <c:pt idx="1">
                  <c:v>6.99</c:v>
                </c:pt>
                <c:pt idx="2">
                  <c:v>11.99</c:v>
                </c:pt>
                <c:pt idx="3">
                  <c:v>13.99</c:v>
                </c:pt>
                <c:pt idx="4">
                  <c:v>6.99</c:v>
                </c:pt>
                <c:pt idx="5">
                  <c:v>45.99</c:v>
                </c:pt>
                <c:pt idx="6">
                  <c:v>12.99</c:v>
                </c:pt>
                <c:pt idx="7">
                  <c:v>6.99</c:v>
                </c:pt>
                <c:pt idx="8">
                  <c:v>7.99</c:v>
                </c:pt>
                <c:pt idx="9">
                  <c:v>13.49</c:v>
                </c:pt>
                <c:pt idx="10">
                  <c:v>19.989999999999998</c:v>
                </c:pt>
                <c:pt idx="11">
                  <c:v>5.99</c:v>
                </c:pt>
                <c:pt idx="12">
                  <c:v>0</c:v>
                </c:pt>
                <c:pt idx="13">
                  <c:v>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7-4A35-8B6F-FFAD6657E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31533167"/>
        <c:axId val="831522607"/>
        <c:axId val="0"/>
      </c:bar3DChart>
      <c:catAx>
        <c:axId val="8315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522607"/>
        <c:crosses val="autoZero"/>
        <c:auto val="1"/>
        <c:lblAlgn val="ctr"/>
        <c:lblOffset val="100"/>
        <c:noMultiLvlLbl val="0"/>
      </c:catAx>
      <c:valAx>
        <c:axId val="83152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53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Coût mensuel moyen</a:t>
            </a:r>
            <a:br>
              <a:rPr lang="fr-FR"/>
            </a:br>
            <a:r>
              <a:rPr lang="fr-FR"/>
              <a:t>streaming Vs. cinéma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prix_streaming!$B$33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prix_streaming!$A$34:$A$35</c:f>
              <c:numCache>
                <c:formatCode>General</c:formatCode>
                <c:ptCount val="2"/>
              </c:numCache>
            </c:numRef>
          </c:cat>
          <c:val>
            <c:numRef>
              <c:f>prix_streaming!$B$34:$B$35</c:f>
              <c:numCache>
                <c:formatCode>_([$€-2]\ * #,##0.00_);_([$€-2]\ * \(#,##0.00\);_([$€-2]\ * "-"??_);_(@_)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8012-43ED-8CBD-7FCF304834C6}"/>
            </c:ext>
          </c:extLst>
        </c:ser>
        <c:ser>
          <c:idx val="1"/>
          <c:order val="1"/>
          <c:tx>
            <c:strRef>
              <c:f>prix_streaming!$C$33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prix_streaming!$A$34:$A$35</c:f>
              <c:numCache>
                <c:formatCode>General</c:formatCode>
                <c:ptCount val="2"/>
              </c:numCache>
            </c:numRef>
          </c:cat>
          <c:val>
            <c:numRef>
              <c:f>prix_streaming!$C$34:$C$35</c:f>
              <c:numCache>
                <c:formatCode>_([$€-2]\ * #,##0.00_);_([$€-2]\ * \(#,##0.00\);_([$€-2]\ * "-"??_);_(@_)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8012-43ED-8CBD-7FCF30483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2013968"/>
        <c:axId val="1112015408"/>
      </c:barChart>
      <c:catAx>
        <c:axId val="111201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2015408"/>
        <c:crosses val="autoZero"/>
        <c:auto val="1"/>
        <c:lblAlgn val="ctr"/>
        <c:lblOffset val="100"/>
        <c:noMultiLvlLbl val="0"/>
      </c:catAx>
      <c:valAx>
        <c:axId val="111201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201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Consommation de confiseries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Confiseries!$B$1</c:f>
              <c:strCache>
                <c:ptCount val="1"/>
                <c:pt idx="0">
                  <c:v>Part des spectateurs achetant confiseries/boissons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Confiseries!$A$2:$A$8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Confiseries!$B$2:$B$8</c:f>
              <c:numCache>
                <c:formatCode>General</c:formatCode>
                <c:ptCount val="7"/>
                <c:pt idx="0">
                  <c:v>48</c:v>
                </c:pt>
                <c:pt idx="1">
                  <c:v>49</c:v>
                </c:pt>
                <c:pt idx="2">
                  <c:v>20</c:v>
                </c:pt>
                <c:pt idx="3">
                  <c:v>30</c:v>
                </c:pt>
                <c:pt idx="4">
                  <c:v>44</c:v>
                </c:pt>
                <c:pt idx="5">
                  <c:v>47</c:v>
                </c:pt>
                <c:pt idx="6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4-4ACC-951C-B8B73850A4E2}"/>
            </c:ext>
          </c:extLst>
        </c:ser>
        <c:ser>
          <c:idx val="1"/>
          <c:order val="1"/>
          <c:tx>
            <c:strRef>
              <c:f>Confiseries!$C$1</c:f>
              <c:strCache>
                <c:ptCount val="1"/>
                <c:pt idx="0">
                  <c:v>Indice CA confiseries (base 2019 = 100)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Confiseries!$A$2:$A$8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Confiseries!$C$2:$C$8</c:f>
              <c:numCache>
                <c:formatCode>General</c:formatCode>
                <c:ptCount val="7"/>
                <c:pt idx="0">
                  <c:v>98</c:v>
                </c:pt>
                <c:pt idx="1">
                  <c:v>100</c:v>
                </c:pt>
                <c:pt idx="2">
                  <c:v>35</c:v>
                </c:pt>
                <c:pt idx="3">
                  <c:v>55</c:v>
                </c:pt>
                <c:pt idx="4">
                  <c:v>85</c:v>
                </c:pt>
                <c:pt idx="5">
                  <c:v>95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C4-4ACC-951C-B8B73850A4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2010608"/>
        <c:axId val="832685263"/>
      </c:lineChart>
      <c:catAx>
        <c:axId val="11120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2685263"/>
        <c:crosses val="autoZero"/>
        <c:auto val="1"/>
        <c:lblAlgn val="ctr"/>
        <c:lblOffset val="100"/>
        <c:noMultiLvlLbl val="0"/>
      </c:catAx>
      <c:valAx>
        <c:axId val="83268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20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gen_Vs_indpts!$B$2:$B$3</c:f>
              <c:strCache>
                <c:ptCount val="2"/>
                <c:pt idx="0">
                  <c:v>Grandes chaînes (multiplexes)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gen_Vs_indpts!$A$4:$A$8</c:f>
              <c:strCache>
                <c:ptCount val="5"/>
                <c:pt idx="0">
                  <c:v>Films américains grand public</c:v>
                </c:pt>
                <c:pt idx="1">
                  <c:v>Films français grand public</c:v>
                </c:pt>
                <c:pt idx="2">
                  <c:v>Films Art &amp; Essai (EU, monde, auteurs)</c:v>
                </c:pt>
                <c:pt idx="3">
                  <c:v>Films patrimoine / reprises</c:v>
                </c:pt>
                <c:pt idx="4">
                  <c:v>Documentaires / films de niche</c:v>
                </c:pt>
              </c:strCache>
            </c:strRef>
          </c:cat>
          <c:val>
            <c:numRef>
              <c:f>gen_Vs_indpts!$B$4:$B$8</c:f>
              <c:numCache>
                <c:formatCode>General</c:formatCode>
                <c:ptCount val="5"/>
                <c:pt idx="0">
                  <c:v>60</c:v>
                </c:pt>
                <c:pt idx="1">
                  <c:v>20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4-4DE0-B81A-687E9937D0D6}"/>
            </c:ext>
          </c:extLst>
        </c:ser>
        <c:ser>
          <c:idx val="1"/>
          <c:order val="1"/>
          <c:tx>
            <c:strRef>
              <c:f>gen_Vs_indpts!$C$2:$C$3</c:f>
              <c:strCache>
                <c:ptCount val="2"/>
                <c:pt idx="0">
                  <c:v>Grandes chaînes (multiplexes)</c:v>
                </c:pt>
                <c:pt idx="1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gen_Vs_indpts!$A$4:$A$8</c:f>
              <c:strCache>
                <c:ptCount val="5"/>
                <c:pt idx="0">
                  <c:v>Films américains grand public</c:v>
                </c:pt>
                <c:pt idx="1">
                  <c:v>Films français grand public</c:v>
                </c:pt>
                <c:pt idx="2">
                  <c:v>Films Art &amp; Essai (EU, monde, auteurs)</c:v>
                </c:pt>
                <c:pt idx="3">
                  <c:v>Films patrimoine / reprises</c:v>
                </c:pt>
                <c:pt idx="4">
                  <c:v>Documentaires / films de niche</c:v>
                </c:pt>
              </c:strCache>
            </c:strRef>
          </c:cat>
          <c:val>
            <c:numRef>
              <c:f>gen_Vs_indpts!$C$4:$C$8</c:f>
              <c:numCache>
                <c:formatCode>General</c:formatCode>
                <c:ptCount val="5"/>
                <c:pt idx="0">
                  <c:v>70</c:v>
                </c:pt>
                <c:pt idx="1">
                  <c:v>30</c:v>
                </c:pt>
                <c:pt idx="2">
                  <c:v>10</c:v>
                </c:pt>
                <c:pt idx="3">
                  <c:v>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4-4DE0-B81A-687E9937D0D6}"/>
            </c:ext>
          </c:extLst>
        </c:ser>
        <c:ser>
          <c:idx val="2"/>
          <c:order val="2"/>
          <c:tx>
            <c:strRef>
              <c:f>gen_Vs_indpts!$D$2:$D$3</c:f>
              <c:strCache>
                <c:ptCount val="2"/>
                <c:pt idx="0">
                  <c:v>Cinémas indépendants / Art &amp; Essai</c:v>
                </c:pt>
                <c:pt idx="1">
                  <c:v>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gen_Vs_indpts!$A$4:$A$8</c:f>
              <c:strCache>
                <c:ptCount val="5"/>
                <c:pt idx="0">
                  <c:v>Films américains grand public</c:v>
                </c:pt>
                <c:pt idx="1">
                  <c:v>Films français grand public</c:v>
                </c:pt>
                <c:pt idx="2">
                  <c:v>Films Art &amp; Essai (EU, monde, auteurs)</c:v>
                </c:pt>
                <c:pt idx="3">
                  <c:v>Films patrimoine / reprises</c:v>
                </c:pt>
                <c:pt idx="4">
                  <c:v>Documentaires / films de niche</c:v>
                </c:pt>
              </c:strCache>
            </c:strRef>
          </c:cat>
          <c:val>
            <c:numRef>
              <c:f>gen_Vs_indpts!$D$4:$D$8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40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4-4DE0-B81A-687E9937D0D6}"/>
            </c:ext>
          </c:extLst>
        </c:ser>
        <c:ser>
          <c:idx val="3"/>
          <c:order val="3"/>
          <c:tx>
            <c:strRef>
              <c:f>gen_Vs_indpts!$E$2:$E$3</c:f>
              <c:strCache>
                <c:ptCount val="2"/>
                <c:pt idx="0">
                  <c:v>Cinémas indépendants / Art &amp; Essai</c:v>
                </c:pt>
                <c:pt idx="1">
                  <c:v>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gen_Vs_indpts!$A$4:$A$8</c:f>
              <c:strCache>
                <c:ptCount val="5"/>
                <c:pt idx="0">
                  <c:v>Films américains grand public</c:v>
                </c:pt>
                <c:pt idx="1">
                  <c:v>Films français grand public</c:v>
                </c:pt>
                <c:pt idx="2">
                  <c:v>Films Art &amp; Essai (EU, monde, auteurs)</c:v>
                </c:pt>
                <c:pt idx="3">
                  <c:v>Films patrimoine / reprises</c:v>
                </c:pt>
                <c:pt idx="4">
                  <c:v>Documentaires / films de niche</c:v>
                </c:pt>
              </c:strCache>
            </c:strRef>
          </c:cat>
          <c:val>
            <c:numRef>
              <c:f>gen_Vs_indpts!$E$4:$E$8</c:f>
              <c:numCache>
                <c:formatCode>General</c:formatCode>
                <c:ptCount val="5"/>
                <c:pt idx="0">
                  <c:v>30</c:v>
                </c:pt>
                <c:pt idx="1">
                  <c:v>35</c:v>
                </c:pt>
                <c:pt idx="2">
                  <c:v>60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4-4DE0-B81A-687E9937D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397248"/>
        <c:axId val="1213412608"/>
      </c:barChart>
      <c:catAx>
        <c:axId val="121339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3412608"/>
        <c:crosses val="autoZero"/>
        <c:auto val="1"/>
        <c:lblAlgn val="ctr"/>
        <c:lblOffset val="100"/>
        <c:noMultiLvlLbl val="0"/>
      </c:catAx>
      <c:valAx>
        <c:axId val="121341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339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200"/>
              <a:t>Programmation</a:t>
            </a:r>
            <a:r>
              <a:rPr lang="fr-FR" sz="1200" baseline="0"/>
              <a:t> généralistes Vs. indépendants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gen_Vs_indpts!$G$4</c:f>
              <c:strCache>
                <c:ptCount val="1"/>
                <c:pt idx="0">
                  <c:v>Films américains grand public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gen_Vs_indpts!$H$3:$I$3</c:f>
              <c:strCache>
                <c:ptCount val="2"/>
                <c:pt idx="0">
                  <c:v>Grandes chaînes (multiplexes)</c:v>
                </c:pt>
                <c:pt idx="1">
                  <c:v>Cinémas indépendants / Art &amp; Essai</c:v>
                </c:pt>
              </c:strCache>
            </c:strRef>
          </c:cat>
          <c:val>
            <c:numRef>
              <c:f>gen_Vs_indpts!$H$4:$I$4</c:f>
              <c:numCache>
                <c:formatCode>General</c:formatCode>
                <c:ptCount val="2"/>
                <c:pt idx="0">
                  <c:v>65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2-4C33-89A1-04B6B3FEB817}"/>
            </c:ext>
          </c:extLst>
        </c:ser>
        <c:ser>
          <c:idx val="1"/>
          <c:order val="1"/>
          <c:tx>
            <c:strRef>
              <c:f>gen_Vs_indpts!$G$5</c:f>
              <c:strCache>
                <c:ptCount val="1"/>
                <c:pt idx="0">
                  <c:v>Films français grand public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gen_Vs_indpts!$H$3:$I$3</c:f>
              <c:strCache>
                <c:ptCount val="2"/>
                <c:pt idx="0">
                  <c:v>Grandes chaînes (multiplexes)</c:v>
                </c:pt>
                <c:pt idx="1">
                  <c:v>Cinémas indépendants / Art &amp; Essai</c:v>
                </c:pt>
              </c:strCache>
            </c:strRef>
          </c:cat>
          <c:val>
            <c:numRef>
              <c:f>gen_Vs_indpts!$H$5:$I$5</c:f>
              <c:numCache>
                <c:formatCode>General</c:formatCode>
                <c:ptCount val="2"/>
                <c:pt idx="0">
                  <c:v>25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2-4C33-89A1-04B6B3FEB817}"/>
            </c:ext>
          </c:extLst>
        </c:ser>
        <c:ser>
          <c:idx val="2"/>
          <c:order val="2"/>
          <c:tx>
            <c:strRef>
              <c:f>gen_Vs_indpts!$G$6</c:f>
              <c:strCache>
                <c:ptCount val="1"/>
                <c:pt idx="0">
                  <c:v>Films Art &amp; Essai (EU, monde, auteurs)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gen_Vs_indpts!$H$3:$I$3</c:f>
              <c:strCache>
                <c:ptCount val="2"/>
                <c:pt idx="0">
                  <c:v>Grandes chaînes (multiplexes)</c:v>
                </c:pt>
                <c:pt idx="1">
                  <c:v>Cinémas indépendants / Art &amp; Essai</c:v>
                </c:pt>
              </c:strCache>
            </c:strRef>
          </c:cat>
          <c:val>
            <c:numRef>
              <c:f>gen_Vs_indpts!$H$6:$I$6</c:f>
              <c:numCache>
                <c:formatCode>General</c:formatCode>
                <c:ptCount val="2"/>
                <c:pt idx="0">
                  <c:v>7.5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2-4C33-89A1-04B6B3FEB817}"/>
            </c:ext>
          </c:extLst>
        </c:ser>
        <c:ser>
          <c:idx val="3"/>
          <c:order val="3"/>
          <c:tx>
            <c:strRef>
              <c:f>gen_Vs_indpts!$G$7</c:f>
              <c:strCache>
                <c:ptCount val="1"/>
                <c:pt idx="0">
                  <c:v>Films patrimoine / reprises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gen_Vs_indpts!$H$3:$I$3</c:f>
              <c:strCache>
                <c:ptCount val="2"/>
                <c:pt idx="0">
                  <c:v>Grandes chaînes (multiplexes)</c:v>
                </c:pt>
                <c:pt idx="1">
                  <c:v>Cinémas indépendants / Art &amp; Essai</c:v>
                </c:pt>
              </c:strCache>
            </c:strRef>
          </c:cat>
          <c:val>
            <c:numRef>
              <c:f>gen_Vs_indpts!$H$7:$I$7</c:f>
              <c:numCache>
                <c:formatCode>General</c:formatCode>
                <c:ptCount val="2"/>
                <c:pt idx="0">
                  <c:v>1</c:v>
                </c:pt>
                <c:pt idx="1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2-4C33-89A1-04B6B3FEB817}"/>
            </c:ext>
          </c:extLst>
        </c:ser>
        <c:ser>
          <c:idx val="4"/>
          <c:order val="4"/>
          <c:tx>
            <c:strRef>
              <c:f>gen_Vs_indpts!$G$8</c:f>
              <c:strCache>
                <c:ptCount val="1"/>
                <c:pt idx="0">
                  <c:v>Documentaires / films de niche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gen_Vs_indpts!$H$3:$I$3</c:f>
              <c:strCache>
                <c:ptCount val="2"/>
                <c:pt idx="0">
                  <c:v>Grandes chaînes (multiplexes)</c:v>
                </c:pt>
                <c:pt idx="1">
                  <c:v>Cinémas indépendants / Art &amp; Essai</c:v>
                </c:pt>
              </c:strCache>
            </c:strRef>
          </c:cat>
          <c:val>
            <c:numRef>
              <c:f>gen_Vs_indpts!$H$8:$I$8</c:f>
              <c:numCache>
                <c:formatCode>General</c:formatCode>
                <c:ptCount val="2"/>
                <c:pt idx="0">
                  <c:v>0.05</c:v>
                </c:pt>
                <c:pt idx="1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2-4C33-89A1-04B6B3FEB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6126783"/>
        <c:axId val="826126303"/>
      </c:barChart>
      <c:catAx>
        <c:axId val="82612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6126303"/>
        <c:crosses val="autoZero"/>
        <c:auto val="1"/>
        <c:lblAlgn val="ctr"/>
        <c:lblOffset val="100"/>
        <c:noMultiLvlLbl val="0"/>
      </c:catAx>
      <c:valAx>
        <c:axId val="8261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61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gen_Vs_indpts!$B$14</c:f>
              <c:strCache>
                <c:ptCount val="1"/>
                <c:pt idx="0">
                  <c:v>Part des entrées nationales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6A-4947-BCBB-E12890FBD6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6A-4947-BCBB-E12890FBD64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6A-4947-BCBB-E12890FBD6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gen_Vs_indpts!$A$15:$A$17</c:f>
              <c:strCache>
                <c:ptCount val="3"/>
                <c:pt idx="0">
                  <c:v>Blockbusters US</c:v>
                </c:pt>
                <c:pt idx="1">
                  <c:v>Films français</c:v>
                </c:pt>
                <c:pt idx="2">
                  <c:v>Films Art &amp; Essai</c:v>
                </c:pt>
              </c:strCache>
            </c:strRef>
          </c:cat>
          <c:val>
            <c:numRef>
              <c:f>gen_Vs_indpts!$B$15:$B$17</c:f>
              <c:numCache>
                <c:formatCode>General</c:formatCode>
                <c:ptCount val="3"/>
                <c:pt idx="0">
                  <c:v>55</c:v>
                </c:pt>
                <c:pt idx="1">
                  <c:v>35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A-4168-8B52-E821856F3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17</xdr:row>
      <xdr:rowOff>6350</xdr:rowOff>
    </xdr:from>
    <xdr:to>
      <xdr:col>3</xdr:col>
      <xdr:colOff>1241425</xdr:colOff>
      <xdr:row>31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7911849-3A5B-2A6B-B0DF-EEB9BAFEC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196850</xdr:colOff>
      <xdr:row>36</xdr:row>
      <xdr:rowOff>63500</xdr:rowOff>
    </xdr:from>
    <xdr:to>
      <xdr:col>3</xdr:col>
      <xdr:colOff>1282700</xdr:colOff>
      <xdr:row>51</xdr:row>
      <xdr:rowOff>44450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3D91113-C2A6-31BD-7B15-D943F6724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301625</xdr:colOff>
      <xdr:row>10</xdr:row>
      <xdr:rowOff>31750</xdr:rowOff>
    </xdr:from>
    <xdr:to>
      <xdr:col>2</xdr:col>
      <xdr:colOff>898525</xdr:colOff>
      <xdr:row>25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D9D6E3-16FB-D243-3431-DCA855DBB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298450</xdr:rowOff>
    </xdr:from>
    <xdr:to>
      <xdr:col>6</xdr:col>
      <xdr:colOff>0</xdr:colOff>
      <xdr:row>10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D97DCC-9D07-0F09-FDB8-0D52E97BD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168275</xdr:colOff>
      <xdr:row>3</xdr:row>
      <xdr:rowOff>44450</xdr:rowOff>
    </xdr:from>
    <xdr:to>
      <xdr:col>16</xdr:col>
      <xdr:colOff>168275</xdr:colOff>
      <xdr:row>7</xdr:row>
      <xdr:rowOff>25400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825B4D8-7E1F-11C3-A8C1-BDB96F008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50800</xdr:colOff>
      <xdr:row>13</xdr:row>
      <xdr:rowOff>285750</xdr:rowOff>
    </xdr:from>
    <xdr:to>
      <xdr:col>12</xdr:col>
      <xdr:colOff>50800</xdr:colOff>
      <xdr:row>19</xdr:row>
      <xdr:rowOff>82550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EBFB719-BA84-11D4-FE6C-CE2A57FA8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Chadapaux" refreshedDate="46003.435109375001" createdVersion="8" refreshedVersion="8" minRefreshableVersion="3" recordCount="12" xr:uid="{89219B7C-D28D-4333-B9C0-9F8E72BEC7E4}">
  <cacheSource type="worksheet">
    <worksheetSource ref="A1:F13" sheet="Cine_Age_Global"/>
  </cacheSource>
  <cacheFields count="6">
    <cacheField name="Genre" numFmtId="0">
      <sharedItems count="3">
        <s v="    Femmes"/>
        <s v="    Hommes"/>
        <s v="    Ensemble"/>
      </sharedItems>
    </cacheField>
    <cacheField name="Age" numFmtId="0">
      <sharedItems count="4">
        <s v="16-24"/>
        <s v="25-39"/>
        <s v="40-59"/>
        <s v="60+"/>
      </sharedItems>
    </cacheField>
    <cacheField name="Aucune fois" numFmtId="0">
      <sharedItems count="12">
        <s v="23,8"/>
        <s v="27,8"/>
        <s v="25,8"/>
        <s v="45,6"/>
        <s v="46,8"/>
        <s v="46,2"/>
        <s v="56,8"/>
        <s v="57,7"/>
        <s v="57,3"/>
        <s v="74,8"/>
        <s v="78,5"/>
        <s v="76,4"/>
      </sharedItems>
    </cacheField>
    <cacheField name="De 1 à 3 fois" numFmtId="0">
      <sharedItems count="12">
        <s v="42,3"/>
        <s v="38,0"/>
        <s v="40,1"/>
        <s v="37,4"/>
        <s v="33,9"/>
        <s v="35,7"/>
        <s v="29,5"/>
        <s v="28,7"/>
        <s v="29,1"/>
        <s v="15,3"/>
        <s v="13,0"/>
        <s v="14,3"/>
      </sharedItems>
    </cacheField>
    <cacheField name="Plus de 3 fois" numFmtId="0">
      <sharedItems count="12">
        <s v="28,9"/>
        <s v="26,8"/>
        <s v="27,8"/>
        <s v="15,1"/>
        <s v="16,6"/>
        <s v="15,8"/>
        <s v="12,3"/>
        <s v="11,8"/>
        <s v="12,1"/>
        <s v="8,9"/>
        <s v="7,3"/>
        <s v="8,2"/>
      </sharedItems>
    </cacheField>
    <cacheField name="Ne sait pas / Refus" numFmtId="0">
      <sharedItems count="11">
        <s v="5,1"/>
        <s v="7,4"/>
        <s v="6,3"/>
        <s v="2,0"/>
        <s v="2,8"/>
        <s v="2,4"/>
        <s v="1,3"/>
        <s v="1,7"/>
        <s v="1,5"/>
        <s v="1,1"/>
        <s v="1,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x v="0"/>
    <x v="0"/>
  </r>
  <r>
    <x v="1"/>
    <x v="0"/>
    <x v="1"/>
    <x v="1"/>
    <x v="1"/>
    <x v="1"/>
  </r>
  <r>
    <x v="2"/>
    <x v="0"/>
    <x v="2"/>
    <x v="2"/>
    <x v="2"/>
    <x v="2"/>
  </r>
  <r>
    <x v="0"/>
    <x v="1"/>
    <x v="3"/>
    <x v="3"/>
    <x v="3"/>
    <x v="3"/>
  </r>
  <r>
    <x v="1"/>
    <x v="1"/>
    <x v="4"/>
    <x v="4"/>
    <x v="4"/>
    <x v="4"/>
  </r>
  <r>
    <x v="2"/>
    <x v="1"/>
    <x v="5"/>
    <x v="5"/>
    <x v="5"/>
    <x v="5"/>
  </r>
  <r>
    <x v="0"/>
    <x v="2"/>
    <x v="6"/>
    <x v="6"/>
    <x v="6"/>
    <x v="6"/>
  </r>
  <r>
    <x v="1"/>
    <x v="2"/>
    <x v="7"/>
    <x v="7"/>
    <x v="7"/>
    <x v="7"/>
  </r>
  <r>
    <x v="2"/>
    <x v="2"/>
    <x v="8"/>
    <x v="8"/>
    <x v="8"/>
    <x v="8"/>
  </r>
  <r>
    <x v="0"/>
    <x v="3"/>
    <x v="9"/>
    <x v="9"/>
    <x v="9"/>
    <x v="9"/>
  </r>
  <r>
    <x v="1"/>
    <x v="3"/>
    <x v="10"/>
    <x v="10"/>
    <x v="10"/>
    <x v="6"/>
  </r>
  <r>
    <x v="2"/>
    <x v="3"/>
    <x v="11"/>
    <x v="11"/>
    <x v="1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A1E8A-93EA-40CE-B3BB-5D2FBF86D26D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1:N18" firstHeaderRow="0" firstDataRow="1" firstDataCol="1"/>
  <pivotFields count="6">
    <pivotField axis="axisRow" showAll="0">
      <items count="4">
        <item n="Ensemble" x="2"/>
        <item n="Femmes" x="0"/>
        <item n="Hommes"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13">
        <item x="0"/>
        <item x="2"/>
        <item x="1"/>
        <item x="3"/>
        <item x="5"/>
        <item x="4"/>
        <item x="6"/>
        <item x="8"/>
        <item x="7"/>
        <item x="9"/>
        <item x="11"/>
        <item x="10"/>
        <item t="default"/>
      </items>
    </pivotField>
    <pivotField dataField="1" showAll="0">
      <items count="13">
        <item x="10"/>
        <item x="11"/>
        <item x="9"/>
        <item x="7"/>
        <item x="8"/>
        <item x="6"/>
        <item x="4"/>
        <item x="5"/>
        <item x="3"/>
        <item x="1"/>
        <item x="2"/>
        <item x="0"/>
        <item t="default"/>
      </items>
    </pivotField>
    <pivotField dataField="1" showAll="0">
      <items count="13">
        <item x="7"/>
        <item x="8"/>
        <item x="6"/>
        <item x="3"/>
        <item x="5"/>
        <item x="4"/>
        <item x="1"/>
        <item x="2"/>
        <item x="0"/>
        <item x="10"/>
        <item x="11"/>
        <item x="9"/>
        <item t="default"/>
      </items>
    </pivotField>
    <pivotField dataField="1" showAll="0">
      <items count="12">
        <item x="9"/>
        <item x="10"/>
        <item x="6"/>
        <item x="8"/>
        <item x="7"/>
        <item x="3"/>
        <item x="5"/>
        <item x="4"/>
        <item x="0"/>
        <item x="2"/>
        <item x="1"/>
        <item t="default"/>
      </items>
    </pivotField>
  </pivotFields>
  <rowFields count="2">
    <field x="1"/>
    <field x="0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ombre de Aucune fois" fld="2" subtotal="count" baseField="0" baseItem="0"/>
    <dataField name="Nombre de De 1 à 3 fois" fld="3" subtotal="count" baseField="0" baseItem="0"/>
    <dataField name="Nombre de Plus de 3 fois" fld="4" subtotal="count" baseField="0" baseItem="0"/>
    <dataField name="Nombre de Ne sait pas / Refus" fld="5" subtotal="count" baseField="0" baseItem="0"/>
  </dataFields>
  <formats count="2"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riase.com/streaming/dossiers/comparatif-meilleur-service-stream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DEAB-6AC6-4EA3-A242-A976BF484A28}">
  <dimension ref="A1:AC8"/>
  <sheetViews>
    <sheetView zoomScale="55" zoomScaleNormal="55" workbookViewId="0">
      <selection activeCell="C17" sqref="C17"/>
    </sheetView>
  </sheetViews>
  <sheetFormatPr baseColWidth="10" defaultRowHeight="14.5"/>
  <cols>
    <col min="2" max="2" width="20.453125" bestFit="1" customWidth="1"/>
    <col min="3" max="3" width="24.54296875" bestFit="1" customWidth="1"/>
    <col min="4" max="4" width="23.81640625" bestFit="1" customWidth="1"/>
  </cols>
  <sheetData>
    <row r="1" spans="1:29">
      <c r="A1" s="5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>
      <c r="A2" s="11">
        <v>4</v>
      </c>
      <c r="B2" s="7" t="s">
        <v>38</v>
      </c>
      <c r="C2" s="7" t="s">
        <v>35</v>
      </c>
      <c r="D2" s="7" t="s">
        <v>39</v>
      </c>
      <c r="E2" s="8" t="s">
        <v>40</v>
      </c>
      <c r="F2" s="7" t="s">
        <v>41</v>
      </c>
      <c r="G2" s="6">
        <v>3335</v>
      </c>
      <c r="H2" s="6" t="s">
        <v>42</v>
      </c>
      <c r="I2" s="7" t="s">
        <v>41</v>
      </c>
      <c r="J2" s="6">
        <v>3335</v>
      </c>
      <c r="K2" s="7" t="s">
        <v>34</v>
      </c>
      <c r="L2" s="6">
        <v>2</v>
      </c>
      <c r="M2" s="6">
        <v>379</v>
      </c>
      <c r="N2" s="6">
        <v>53</v>
      </c>
      <c r="O2" s="9">
        <v>1694</v>
      </c>
      <c r="P2" s="9">
        <v>23315</v>
      </c>
      <c r="Q2" s="9">
        <v>21651</v>
      </c>
      <c r="R2" s="12">
        <v>7.6855572490878016E-2</v>
      </c>
      <c r="S2" s="10" t="s">
        <v>32</v>
      </c>
      <c r="T2" s="7" t="s">
        <v>30</v>
      </c>
      <c r="U2" s="9">
        <v>343</v>
      </c>
      <c r="V2" s="9">
        <v>271</v>
      </c>
      <c r="W2" s="13">
        <v>0.60304822565969063</v>
      </c>
      <c r="X2" s="13">
        <v>0.22511373976342131</v>
      </c>
      <c r="Y2" s="13">
        <v>0.11828935395814377</v>
      </c>
      <c r="Z2" s="13">
        <v>5.3548680618744314E-2</v>
      </c>
      <c r="AA2" s="9">
        <v>222</v>
      </c>
      <c r="AB2" s="13">
        <v>0.51253822629969414</v>
      </c>
      <c r="AC2" s="13">
        <v>0.40550500454959054</v>
      </c>
    </row>
    <row r="3" spans="1:29">
      <c r="A3" s="11">
        <v>4</v>
      </c>
      <c r="B3" s="7" t="s">
        <v>44</v>
      </c>
      <c r="C3" s="7" t="s">
        <v>35</v>
      </c>
      <c r="D3" s="7" t="s">
        <v>43</v>
      </c>
      <c r="E3" s="8" t="s">
        <v>45</v>
      </c>
      <c r="F3" s="7" t="s">
        <v>46</v>
      </c>
      <c r="G3" s="6">
        <v>2674</v>
      </c>
      <c r="H3" s="6" t="s">
        <v>42</v>
      </c>
      <c r="I3" s="7" t="s">
        <v>46</v>
      </c>
      <c r="J3" s="6">
        <v>2674</v>
      </c>
      <c r="K3" s="7" t="s">
        <v>34</v>
      </c>
      <c r="L3" s="6">
        <v>1</v>
      </c>
      <c r="M3" s="6">
        <v>410</v>
      </c>
      <c r="N3" s="6">
        <v>49</v>
      </c>
      <c r="O3" s="9">
        <v>747</v>
      </c>
      <c r="P3" s="9">
        <v>12246</v>
      </c>
      <c r="Q3" s="9">
        <v>11066</v>
      </c>
      <c r="R3" s="12">
        <v>0.10663292969455991</v>
      </c>
      <c r="S3" s="10" t="s">
        <v>31</v>
      </c>
      <c r="T3" s="7" t="s">
        <v>30</v>
      </c>
      <c r="U3" s="9">
        <v>178</v>
      </c>
      <c r="V3" s="9">
        <v>137</v>
      </c>
      <c r="W3" s="13">
        <v>0.65230082417582413</v>
      </c>
      <c r="X3" s="13">
        <v>0.16698145604395603</v>
      </c>
      <c r="Y3" s="13">
        <v>0.14354395604395603</v>
      </c>
      <c r="Z3" s="13">
        <v>3.7173763736263736E-2</v>
      </c>
      <c r="AA3" s="9">
        <v>89</v>
      </c>
      <c r="AB3" s="13">
        <v>0.38617886178861788</v>
      </c>
      <c r="AC3" s="13">
        <v>0.39165521978021978</v>
      </c>
    </row>
    <row r="4" spans="1:29">
      <c r="A4" s="11">
        <v>4</v>
      </c>
      <c r="B4" s="7" t="s">
        <v>49</v>
      </c>
      <c r="C4" s="7" t="s">
        <v>35</v>
      </c>
      <c r="D4" s="7" t="s">
        <v>50</v>
      </c>
      <c r="E4" s="8" t="s">
        <v>51</v>
      </c>
      <c r="F4" s="7" t="s">
        <v>52</v>
      </c>
      <c r="G4" s="6">
        <v>806</v>
      </c>
      <c r="H4" s="6" t="s">
        <v>42</v>
      </c>
      <c r="I4" s="7" t="s">
        <v>36</v>
      </c>
      <c r="J4" s="6">
        <v>14183345</v>
      </c>
      <c r="K4" s="7" t="s">
        <v>34</v>
      </c>
      <c r="L4" s="6">
        <v>1</v>
      </c>
      <c r="M4" s="6">
        <v>104</v>
      </c>
      <c r="N4" s="6">
        <v>47</v>
      </c>
      <c r="O4" s="9">
        <v>143</v>
      </c>
      <c r="P4" s="9">
        <v>2013</v>
      </c>
      <c r="Q4" s="9">
        <v>1663</v>
      </c>
      <c r="R4" s="12">
        <v>0.21046301864101022</v>
      </c>
      <c r="S4" s="10" t="s">
        <v>33</v>
      </c>
      <c r="T4" s="7" t="s">
        <v>30</v>
      </c>
      <c r="U4" s="9">
        <v>94</v>
      </c>
      <c r="V4" s="9">
        <v>84</v>
      </c>
      <c r="W4" s="13">
        <v>0.68400000000000005</v>
      </c>
      <c r="X4" s="13">
        <v>0.17949999999999999</v>
      </c>
      <c r="Y4" s="13">
        <v>0.13200000000000001</v>
      </c>
      <c r="Z4" s="13">
        <v>4.4999999999999997E-3</v>
      </c>
      <c r="AA4" s="9">
        <v>28</v>
      </c>
      <c r="AB4" s="13">
        <v>0.25352112676056338</v>
      </c>
      <c r="AC4" s="13">
        <v>0.1555</v>
      </c>
    </row>
    <row r="5" spans="1:29">
      <c r="A5" s="11">
        <v>4</v>
      </c>
      <c r="B5" s="7" t="s">
        <v>47</v>
      </c>
      <c r="C5" s="7" t="s">
        <v>35</v>
      </c>
      <c r="D5" s="7" t="s">
        <v>47</v>
      </c>
      <c r="E5" s="8" t="s">
        <v>53</v>
      </c>
      <c r="F5" s="7" t="s">
        <v>54</v>
      </c>
      <c r="G5" s="6">
        <v>1114</v>
      </c>
      <c r="H5" s="6" t="s">
        <v>42</v>
      </c>
      <c r="I5" s="7" t="s">
        <v>36</v>
      </c>
      <c r="J5" s="6">
        <v>14183345</v>
      </c>
      <c r="K5" s="7" t="s">
        <v>34</v>
      </c>
      <c r="L5" s="6">
        <v>1</v>
      </c>
      <c r="M5" s="6"/>
      <c r="N5" s="6">
        <v>51</v>
      </c>
      <c r="O5" s="9">
        <v>690</v>
      </c>
      <c r="P5" s="9">
        <v>20949</v>
      </c>
      <c r="Q5" s="9">
        <v>13620</v>
      </c>
      <c r="R5" s="12">
        <v>0.53810572687224667</v>
      </c>
      <c r="S5" s="10" t="s">
        <v>32</v>
      </c>
      <c r="T5" s="7" t="s">
        <v>37</v>
      </c>
      <c r="U5" s="9">
        <v>111</v>
      </c>
      <c r="V5" s="9">
        <v>56</v>
      </c>
      <c r="W5" s="13">
        <v>0.74902568202258424</v>
      </c>
      <c r="X5" s="13">
        <v>0.13810332767063055</v>
      </c>
      <c r="Y5" s="13">
        <v>7.2349355451184177E-2</v>
      </c>
      <c r="Z5" s="13">
        <v>4.0521634855601077E-2</v>
      </c>
      <c r="AA5" s="9">
        <v>52</v>
      </c>
      <c r="AB5" s="13">
        <v>0.32089552238805968</v>
      </c>
      <c r="AC5" s="13">
        <v>0.34345957829519336</v>
      </c>
    </row>
    <row r="6" spans="1:29">
      <c r="A6" s="11">
        <v>4</v>
      </c>
      <c r="B6" s="7" t="s">
        <v>48</v>
      </c>
      <c r="C6" s="7" t="s">
        <v>35</v>
      </c>
      <c r="D6" s="7" t="s">
        <v>55</v>
      </c>
      <c r="E6" s="8" t="s">
        <v>56</v>
      </c>
      <c r="F6" s="7" t="s">
        <v>57</v>
      </c>
      <c r="G6" s="6">
        <v>1322</v>
      </c>
      <c r="H6" s="6" t="s">
        <v>42</v>
      </c>
      <c r="I6" s="7" t="s">
        <v>36</v>
      </c>
      <c r="J6" s="6">
        <v>14183345</v>
      </c>
      <c r="K6" s="7" t="s">
        <v>34</v>
      </c>
      <c r="L6" s="6">
        <v>1</v>
      </c>
      <c r="M6" s="6">
        <v>172</v>
      </c>
      <c r="N6" s="6">
        <v>52</v>
      </c>
      <c r="O6" s="9">
        <v>761</v>
      </c>
      <c r="P6" s="9">
        <v>14223</v>
      </c>
      <c r="Q6" s="9">
        <v>7754</v>
      </c>
      <c r="R6" s="12">
        <v>0.8342790817642507</v>
      </c>
      <c r="S6" s="10" t="s">
        <v>31</v>
      </c>
      <c r="T6" s="7" t="s">
        <v>30</v>
      </c>
      <c r="U6" s="9">
        <v>190</v>
      </c>
      <c r="V6" s="9">
        <v>153</v>
      </c>
      <c r="W6" s="13">
        <v>0.66598748362683746</v>
      </c>
      <c r="X6" s="13">
        <v>0.20513753456556541</v>
      </c>
      <c r="Y6" s="13">
        <v>9.3363411439382912E-2</v>
      </c>
      <c r="Z6" s="13">
        <v>3.5511570368214236E-2</v>
      </c>
      <c r="AA6" s="9">
        <v>99</v>
      </c>
      <c r="AB6" s="13">
        <v>0.42323097463284381</v>
      </c>
      <c r="AC6" s="13">
        <v>0.31654780963469653</v>
      </c>
    </row>
    <row r="7" spans="1:29">
      <c r="A7" s="11">
        <v>4</v>
      </c>
      <c r="B7" s="7" t="s">
        <v>59</v>
      </c>
      <c r="C7" s="7" t="s">
        <v>35</v>
      </c>
      <c r="D7" s="7" t="s">
        <v>60</v>
      </c>
      <c r="E7" s="8" t="s">
        <v>61</v>
      </c>
      <c r="F7" s="7" t="s">
        <v>62</v>
      </c>
      <c r="G7" s="6">
        <v>13327</v>
      </c>
      <c r="H7" s="6" t="s">
        <v>42</v>
      </c>
      <c r="I7" s="7" t="s">
        <v>62</v>
      </c>
      <c r="J7" s="6">
        <v>14402</v>
      </c>
      <c r="K7" s="7" t="s">
        <v>34</v>
      </c>
      <c r="L7" s="6">
        <v>5</v>
      </c>
      <c r="M7" s="6">
        <v>695</v>
      </c>
      <c r="N7" s="6">
        <v>53</v>
      </c>
      <c r="O7" s="9">
        <v>6330</v>
      </c>
      <c r="P7" s="9">
        <v>94701</v>
      </c>
      <c r="Q7" s="9">
        <v>92816</v>
      </c>
      <c r="R7" s="12">
        <v>2.0308998448543353E-2</v>
      </c>
      <c r="S7" s="10" t="s">
        <v>29</v>
      </c>
      <c r="T7" s="7" t="s">
        <v>30</v>
      </c>
      <c r="U7" s="9">
        <v>401</v>
      </c>
      <c r="V7" s="9">
        <v>313</v>
      </c>
      <c r="W7" s="13">
        <v>0.48179410970008107</v>
      </c>
      <c r="X7" s="13">
        <v>0.352477708727371</v>
      </c>
      <c r="Y7" s="13">
        <v>0.12850580924074576</v>
      </c>
      <c r="Z7" s="13">
        <v>3.7222372331802214E-2</v>
      </c>
      <c r="AA7" s="9">
        <v>253</v>
      </c>
      <c r="AB7" s="13">
        <v>0.38248407643312105</v>
      </c>
      <c r="AC7" s="13">
        <v>0.24780329640637666</v>
      </c>
    </row>
    <row r="8" spans="1:29">
      <c r="A8" s="11">
        <v>4</v>
      </c>
      <c r="B8" s="7" t="s">
        <v>58</v>
      </c>
      <c r="C8" s="7" t="s">
        <v>35</v>
      </c>
      <c r="D8" s="7" t="s">
        <v>63</v>
      </c>
      <c r="E8" s="8" t="s">
        <v>64</v>
      </c>
      <c r="F8" s="7" t="s">
        <v>65</v>
      </c>
      <c r="G8" s="6">
        <v>5182</v>
      </c>
      <c r="H8" s="6" t="s">
        <v>42</v>
      </c>
      <c r="I8" s="7" t="s">
        <v>65</v>
      </c>
      <c r="J8" s="6">
        <v>5182</v>
      </c>
      <c r="K8" s="7" t="s">
        <v>34</v>
      </c>
      <c r="L8" s="6">
        <v>1</v>
      </c>
      <c r="M8" s="6">
        <v>190</v>
      </c>
      <c r="N8" s="6">
        <v>49</v>
      </c>
      <c r="O8" s="9">
        <v>781</v>
      </c>
      <c r="P8" s="9">
        <v>12305</v>
      </c>
      <c r="Q8" s="9">
        <v>12022</v>
      </c>
      <c r="R8" s="12">
        <v>2.3540176343370488E-2</v>
      </c>
      <c r="S8" s="10" t="s">
        <v>31</v>
      </c>
      <c r="T8" s="7" t="s">
        <v>30</v>
      </c>
      <c r="U8" s="9">
        <v>225</v>
      </c>
      <c r="V8" s="9">
        <v>170</v>
      </c>
      <c r="W8" s="13">
        <v>0.53425753132498</v>
      </c>
      <c r="X8" s="13">
        <v>0.23575935306140586</v>
      </c>
      <c r="Y8" s="13">
        <v>0.16217897449569005</v>
      </c>
      <c r="Z8" s="13">
        <v>6.7804141117924113E-2</v>
      </c>
      <c r="AA8" s="9">
        <v>131</v>
      </c>
      <c r="AB8" s="13">
        <v>0.51841746248294684</v>
      </c>
      <c r="AC8" s="13">
        <v>0.44352617079889806</v>
      </c>
    </row>
  </sheetData>
  <autoFilter ref="A1:AC8" xr:uid="{0AA1DEAB-6AC6-4EA3-A242-A976BF484A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6BFA-AA9B-44BC-A43E-A3336C30CAFC}">
  <dimension ref="A1:E10"/>
  <sheetViews>
    <sheetView workbookViewId="0">
      <selection activeCell="C14" sqref="C14"/>
    </sheetView>
  </sheetViews>
  <sheetFormatPr baseColWidth="10" defaultRowHeight="14.5"/>
  <sheetData>
    <row r="1" spans="1:5" ht="27.5" thickBot="1">
      <c r="A1" s="20" t="s">
        <v>116</v>
      </c>
      <c r="B1" s="21" t="s">
        <v>117</v>
      </c>
      <c r="C1" s="21" t="s">
        <v>118</v>
      </c>
      <c r="D1" s="21" t="s">
        <v>119</v>
      </c>
      <c r="E1" s="21" t="s">
        <v>120</v>
      </c>
    </row>
    <row r="2" spans="1:5" ht="18.5" thickBot="1">
      <c r="A2" s="24" t="s">
        <v>73</v>
      </c>
      <c r="B2" s="18" t="s">
        <v>121</v>
      </c>
      <c r="C2" s="18" t="s">
        <v>122</v>
      </c>
      <c r="D2" s="18" t="s">
        <v>81</v>
      </c>
      <c r="E2" s="18" t="s">
        <v>123</v>
      </c>
    </row>
    <row r="3" spans="1:5" ht="27.5" thickBot="1">
      <c r="A3" s="23" t="s">
        <v>75</v>
      </c>
      <c r="B3" s="16" t="s">
        <v>124</v>
      </c>
      <c r="C3" s="16" t="s">
        <v>122</v>
      </c>
      <c r="D3" s="16" t="s">
        <v>125</v>
      </c>
      <c r="E3" s="16" t="s">
        <v>126</v>
      </c>
    </row>
    <row r="4" spans="1:5" ht="36.5" thickBot="1">
      <c r="A4" s="24" t="s">
        <v>77</v>
      </c>
      <c r="B4" s="18" t="s">
        <v>127</v>
      </c>
      <c r="C4" s="18" t="s">
        <v>88</v>
      </c>
      <c r="D4" s="18" t="s">
        <v>128</v>
      </c>
      <c r="E4" s="18" t="s">
        <v>129</v>
      </c>
    </row>
    <row r="5" spans="1:5" ht="18.5" thickBot="1">
      <c r="A5" s="23" t="s">
        <v>79</v>
      </c>
      <c r="B5" s="16" t="s">
        <v>130</v>
      </c>
      <c r="C5" s="16" t="s">
        <v>131</v>
      </c>
      <c r="D5" s="16" t="s">
        <v>132</v>
      </c>
      <c r="E5" s="16" t="s">
        <v>129</v>
      </c>
    </row>
    <row r="6" spans="1:5" ht="15" thickBot="1">
      <c r="A6" s="24" t="s">
        <v>80</v>
      </c>
      <c r="B6" s="18" t="s">
        <v>133</v>
      </c>
      <c r="C6" s="18" t="s">
        <v>134</v>
      </c>
      <c r="D6" s="18" t="s">
        <v>135</v>
      </c>
      <c r="E6" s="18" t="s">
        <v>136</v>
      </c>
    </row>
    <row r="7" spans="1:5" ht="27.5" thickBot="1">
      <c r="A7" s="23" t="s">
        <v>137</v>
      </c>
      <c r="B7" s="16" t="s">
        <v>138</v>
      </c>
      <c r="C7" s="16" t="s">
        <v>139</v>
      </c>
      <c r="D7" s="16" t="s">
        <v>140</v>
      </c>
      <c r="E7" s="16" t="s">
        <v>141</v>
      </c>
    </row>
    <row r="8" spans="1:5" ht="15" thickBot="1">
      <c r="A8" s="24" t="s">
        <v>84</v>
      </c>
      <c r="B8" s="18" t="s">
        <v>142</v>
      </c>
      <c r="C8" s="18" t="s">
        <v>143</v>
      </c>
      <c r="D8" s="18" t="s">
        <v>91</v>
      </c>
      <c r="E8" s="18" t="s">
        <v>129</v>
      </c>
    </row>
    <row r="9" spans="1:5" ht="15" thickBot="1">
      <c r="A9" s="23" t="s">
        <v>144</v>
      </c>
      <c r="B9" s="16" t="s">
        <v>145</v>
      </c>
      <c r="C9" s="16" t="s">
        <v>134</v>
      </c>
      <c r="D9" s="16" t="s">
        <v>71</v>
      </c>
      <c r="E9" s="16" t="s">
        <v>146</v>
      </c>
    </row>
    <row r="10" spans="1:5" ht="15" thickBot="1">
      <c r="A10" s="22" t="s">
        <v>68</v>
      </c>
      <c r="B10" s="15" t="s">
        <v>147</v>
      </c>
      <c r="C10" s="15" t="s">
        <v>148</v>
      </c>
      <c r="D10" s="15" t="s">
        <v>69</v>
      </c>
      <c r="E10" s="15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9BD6-58D7-491C-907E-6E9EF864CD50}">
  <dimension ref="A1:N18"/>
  <sheetViews>
    <sheetView workbookViewId="0">
      <selection activeCell="D1" sqref="D1"/>
    </sheetView>
  </sheetViews>
  <sheetFormatPr baseColWidth="10" defaultRowHeight="14.5"/>
  <cols>
    <col min="10" max="10" width="19.54296875" bestFit="1" customWidth="1"/>
    <col min="11" max="12" width="20.1796875" bestFit="1" customWidth="1"/>
    <col min="13" max="13" width="21.36328125" bestFit="1" customWidth="1"/>
    <col min="14" max="14" width="25.81640625" bestFit="1" customWidth="1"/>
    <col min="15" max="22" width="4.36328125" bestFit="1" customWidth="1"/>
    <col min="23" max="23" width="11.453125" bestFit="1" customWidth="1"/>
  </cols>
  <sheetData>
    <row r="1" spans="1:14" s="38" customFormat="1" ht="15" customHeight="1" thickBot="1">
      <c r="A1" s="32" t="s">
        <v>197</v>
      </c>
      <c r="B1" s="33" t="s">
        <v>184</v>
      </c>
      <c r="C1" s="34" t="s">
        <v>199</v>
      </c>
      <c r="D1" s="34" t="s">
        <v>195</v>
      </c>
      <c r="E1" s="34" t="s">
        <v>196</v>
      </c>
      <c r="F1" s="35" t="s">
        <v>198</v>
      </c>
      <c r="G1" s="36"/>
      <c r="H1" s="37"/>
      <c r="J1" s="39" t="s">
        <v>189</v>
      </c>
      <c r="K1" s="38" t="s">
        <v>191</v>
      </c>
      <c r="L1" s="38" t="s">
        <v>192</v>
      </c>
      <c r="M1" s="38" t="s">
        <v>193</v>
      </c>
      <c r="N1" s="38" t="s">
        <v>194</v>
      </c>
    </row>
    <row r="2" spans="1:14" ht="15" thickBot="1">
      <c r="A2" s="23" t="s">
        <v>67</v>
      </c>
      <c r="B2" s="28" t="s">
        <v>185</v>
      </c>
      <c r="C2" s="16" t="s">
        <v>106</v>
      </c>
      <c r="D2" s="16" t="s">
        <v>149</v>
      </c>
      <c r="E2" s="16" t="s">
        <v>150</v>
      </c>
      <c r="F2" s="17" t="s">
        <v>115</v>
      </c>
      <c r="G2" s="14"/>
      <c r="H2" s="27"/>
      <c r="J2" s="30" t="s">
        <v>185</v>
      </c>
      <c r="K2">
        <v>3</v>
      </c>
      <c r="L2">
        <v>3</v>
      </c>
      <c r="M2">
        <v>3</v>
      </c>
      <c r="N2">
        <v>3</v>
      </c>
    </row>
    <row r="3" spans="1:14" ht="15" thickBot="1">
      <c r="A3" s="24" t="s">
        <v>66</v>
      </c>
      <c r="B3" s="29" t="s">
        <v>185</v>
      </c>
      <c r="C3" s="18" t="s">
        <v>151</v>
      </c>
      <c r="D3" s="18" t="s">
        <v>152</v>
      </c>
      <c r="E3" s="18" t="s">
        <v>153</v>
      </c>
      <c r="F3" s="19" t="s">
        <v>140</v>
      </c>
      <c r="G3" s="14"/>
      <c r="H3" s="27"/>
      <c r="J3" s="31" t="s">
        <v>68</v>
      </c>
      <c r="K3">
        <v>1</v>
      </c>
      <c r="L3">
        <v>1</v>
      </c>
      <c r="M3">
        <v>1</v>
      </c>
      <c r="N3">
        <v>1</v>
      </c>
    </row>
    <row r="4" spans="1:14" ht="15" thickBot="1">
      <c r="A4" s="23" t="s">
        <v>68</v>
      </c>
      <c r="B4" s="28" t="s">
        <v>185</v>
      </c>
      <c r="C4" s="16" t="s">
        <v>154</v>
      </c>
      <c r="D4" s="16" t="s">
        <v>155</v>
      </c>
      <c r="E4" s="16" t="s">
        <v>151</v>
      </c>
      <c r="F4" s="17" t="s">
        <v>156</v>
      </c>
      <c r="G4" s="14"/>
      <c r="H4" s="27"/>
      <c r="J4" s="31" t="s">
        <v>67</v>
      </c>
      <c r="K4">
        <v>1</v>
      </c>
      <c r="L4">
        <v>1</v>
      </c>
      <c r="M4">
        <v>1</v>
      </c>
      <c r="N4">
        <v>1</v>
      </c>
    </row>
    <row r="5" spans="1:14" ht="15" thickBot="1">
      <c r="A5" s="23" t="s">
        <v>67</v>
      </c>
      <c r="B5" s="28" t="s">
        <v>186</v>
      </c>
      <c r="C5" s="16" t="s">
        <v>157</v>
      </c>
      <c r="D5" s="16" t="s">
        <v>158</v>
      </c>
      <c r="E5" s="16" t="s">
        <v>70</v>
      </c>
      <c r="F5" s="17" t="s">
        <v>76</v>
      </c>
      <c r="G5" s="14"/>
      <c r="H5" s="27"/>
      <c r="J5" s="31" t="s">
        <v>66</v>
      </c>
      <c r="K5">
        <v>1</v>
      </c>
      <c r="L5">
        <v>1</v>
      </c>
      <c r="M5">
        <v>1</v>
      </c>
      <c r="N5">
        <v>1</v>
      </c>
    </row>
    <row r="6" spans="1:14" ht="15" thickBot="1">
      <c r="A6" s="24" t="s">
        <v>66</v>
      </c>
      <c r="B6" s="29" t="s">
        <v>186</v>
      </c>
      <c r="C6" s="18" t="s">
        <v>159</v>
      </c>
      <c r="D6" s="18" t="s">
        <v>160</v>
      </c>
      <c r="E6" s="18" t="s">
        <v>161</v>
      </c>
      <c r="F6" s="19" t="s">
        <v>92</v>
      </c>
      <c r="G6" s="14"/>
      <c r="H6" s="27"/>
      <c r="J6" s="30" t="s">
        <v>186</v>
      </c>
      <c r="K6">
        <v>3</v>
      </c>
      <c r="L6">
        <v>3</v>
      </c>
      <c r="M6">
        <v>3</v>
      </c>
      <c r="N6">
        <v>3</v>
      </c>
    </row>
    <row r="7" spans="1:14" ht="15" thickBot="1">
      <c r="A7" s="23" t="s">
        <v>68</v>
      </c>
      <c r="B7" s="28" t="s">
        <v>186</v>
      </c>
      <c r="C7" s="16" t="s">
        <v>162</v>
      </c>
      <c r="D7" s="16" t="s">
        <v>163</v>
      </c>
      <c r="E7" s="16" t="s">
        <v>164</v>
      </c>
      <c r="F7" s="17" t="s">
        <v>78</v>
      </c>
      <c r="G7" s="14"/>
      <c r="H7" s="27"/>
      <c r="J7" s="31" t="s">
        <v>68</v>
      </c>
      <c r="K7">
        <v>1</v>
      </c>
      <c r="L7">
        <v>1</v>
      </c>
      <c r="M7">
        <v>1</v>
      </c>
      <c r="N7">
        <v>1</v>
      </c>
    </row>
    <row r="8" spans="1:14" ht="15" thickBot="1">
      <c r="A8" s="23" t="s">
        <v>67</v>
      </c>
      <c r="B8" s="28" t="s">
        <v>187</v>
      </c>
      <c r="C8" s="16" t="s">
        <v>165</v>
      </c>
      <c r="D8" s="16" t="s">
        <v>166</v>
      </c>
      <c r="E8" s="16" t="s">
        <v>167</v>
      </c>
      <c r="F8" s="17" t="s">
        <v>129</v>
      </c>
      <c r="G8" s="14"/>
      <c r="H8" s="27"/>
      <c r="J8" s="31" t="s">
        <v>67</v>
      </c>
      <c r="K8">
        <v>1</v>
      </c>
      <c r="L8">
        <v>1</v>
      </c>
      <c r="M8">
        <v>1</v>
      </c>
      <c r="N8">
        <v>1</v>
      </c>
    </row>
    <row r="9" spans="1:14" ht="15" thickBot="1">
      <c r="A9" s="24" t="s">
        <v>66</v>
      </c>
      <c r="B9" s="29" t="s">
        <v>187</v>
      </c>
      <c r="C9" s="18" t="s">
        <v>168</v>
      </c>
      <c r="D9" s="18" t="s">
        <v>169</v>
      </c>
      <c r="E9" s="18" t="s">
        <v>170</v>
      </c>
      <c r="F9" s="19" t="s">
        <v>171</v>
      </c>
      <c r="G9" s="14"/>
      <c r="H9" s="27"/>
      <c r="J9" s="31" t="s">
        <v>66</v>
      </c>
      <c r="K9">
        <v>1</v>
      </c>
      <c r="L9">
        <v>1</v>
      </c>
      <c r="M9">
        <v>1</v>
      </c>
      <c r="N9">
        <v>1</v>
      </c>
    </row>
    <row r="10" spans="1:14" ht="15" thickBot="1">
      <c r="A10" s="23" t="s">
        <v>68</v>
      </c>
      <c r="B10" s="28" t="s">
        <v>187</v>
      </c>
      <c r="C10" s="16" t="s">
        <v>172</v>
      </c>
      <c r="D10" s="16" t="s">
        <v>173</v>
      </c>
      <c r="E10" s="16" t="s">
        <v>174</v>
      </c>
      <c r="F10" s="17" t="s">
        <v>74</v>
      </c>
      <c r="G10" s="14"/>
      <c r="H10" s="27"/>
      <c r="J10" s="30" t="s">
        <v>187</v>
      </c>
      <c r="K10">
        <v>3</v>
      </c>
      <c r="L10">
        <v>3</v>
      </c>
      <c r="M10">
        <v>3</v>
      </c>
      <c r="N10">
        <v>3</v>
      </c>
    </row>
    <row r="11" spans="1:14" ht="15" thickBot="1">
      <c r="A11" s="23" t="s">
        <v>67</v>
      </c>
      <c r="B11" s="28" t="s">
        <v>188</v>
      </c>
      <c r="C11" s="16" t="s">
        <v>175</v>
      </c>
      <c r="D11" s="16" t="s">
        <v>176</v>
      </c>
      <c r="E11" s="16" t="s">
        <v>111</v>
      </c>
      <c r="F11" s="17" t="s">
        <v>177</v>
      </c>
      <c r="G11" s="14"/>
      <c r="H11" s="27"/>
      <c r="J11" s="31" t="s">
        <v>68</v>
      </c>
      <c r="K11">
        <v>1</v>
      </c>
      <c r="L11">
        <v>1</v>
      </c>
      <c r="M11">
        <v>1</v>
      </c>
      <c r="N11">
        <v>1</v>
      </c>
    </row>
    <row r="12" spans="1:14" ht="15" thickBot="1">
      <c r="A12" s="24" t="s">
        <v>66</v>
      </c>
      <c r="B12" s="29" t="s">
        <v>188</v>
      </c>
      <c r="C12" s="18" t="s">
        <v>178</v>
      </c>
      <c r="D12" s="18" t="s">
        <v>179</v>
      </c>
      <c r="E12" s="18" t="s">
        <v>180</v>
      </c>
      <c r="F12" s="19" t="s">
        <v>129</v>
      </c>
      <c r="G12" s="14"/>
      <c r="H12" s="27"/>
      <c r="J12" s="31" t="s">
        <v>67</v>
      </c>
      <c r="K12">
        <v>1</v>
      </c>
      <c r="L12">
        <v>1</v>
      </c>
      <c r="M12">
        <v>1</v>
      </c>
      <c r="N12">
        <v>1</v>
      </c>
    </row>
    <row r="13" spans="1:14" ht="15" thickBot="1">
      <c r="A13" s="23" t="s">
        <v>68</v>
      </c>
      <c r="B13" s="28" t="s">
        <v>188</v>
      </c>
      <c r="C13" s="16" t="s">
        <v>181</v>
      </c>
      <c r="D13" s="16" t="s">
        <v>182</v>
      </c>
      <c r="E13" s="16" t="s">
        <v>91</v>
      </c>
      <c r="F13" s="17" t="s">
        <v>183</v>
      </c>
      <c r="G13" s="14"/>
      <c r="H13" s="27"/>
      <c r="J13" s="31" t="s">
        <v>66</v>
      </c>
      <c r="K13">
        <v>1</v>
      </c>
      <c r="L13">
        <v>1</v>
      </c>
      <c r="M13">
        <v>1</v>
      </c>
      <c r="N13">
        <v>1</v>
      </c>
    </row>
    <row r="14" spans="1:14">
      <c r="J14" s="30" t="s">
        <v>188</v>
      </c>
      <c r="K14">
        <v>3</v>
      </c>
      <c r="L14">
        <v>3</v>
      </c>
      <c r="M14">
        <v>3</v>
      </c>
      <c r="N14">
        <v>3</v>
      </c>
    </row>
    <row r="15" spans="1:14">
      <c r="J15" s="31" t="s">
        <v>68</v>
      </c>
      <c r="K15">
        <v>1</v>
      </c>
      <c r="L15">
        <v>1</v>
      </c>
      <c r="M15">
        <v>1</v>
      </c>
      <c r="N15">
        <v>1</v>
      </c>
    </row>
    <row r="16" spans="1:14">
      <c r="J16" s="31" t="s">
        <v>67</v>
      </c>
      <c r="K16">
        <v>1</v>
      </c>
      <c r="L16">
        <v>1</v>
      </c>
      <c r="M16">
        <v>1</v>
      </c>
      <c r="N16">
        <v>1</v>
      </c>
    </row>
    <row r="17" spans="10:14">
      <c r="J17" s="31" t="s">
        <v>66</v>
      </c>
      <c r="K17">
        <v>1</v>
      </c>
      <c r="L17">
        <v>1</v>
      </c>
      <c r="M17">
        <v>1</v>
      </c>
      <c r="N17">
        <v>1</v>
      </c>
    </row>
    <row r="18" spans="10:14">
      <c r="J18" s="30" t="s">
        <v>190</v>
      </c>
      <c r="K18">
        <v>12</v>
      </c>
      <c r="L18">
        <v>12</v>
      </c>
      <c r="M18">
        <v>12</v>
      </c>
      <c r="N1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9A05-6ECE-468E-BA05-FFBB08D05644}">
  <dimension ref="A1:F8"/>
  <sheetViews>
    <sheetView tabSelected="1" workbookViewId="0">
      <selection activeCell="B7" sqref="B7"/>
    </sheetView>
  </sheetViews>
  <sheetFormatPr baseColWidth="10" defaultRowHeight="14.5"/>
  <sheetData>
    <row r="1" spans="1:6" ht="15" thickBot="1">
      <c r="A1" s="20" t="s">
        <v>184</v>
      </c>
      <c r="B1" s="21" t="s">
        <v>207</v>
      </c>
      <c r="C1" s="21" t="s">
        <v>208</v>
      </c>
    </row>
    <row r="2" spans="1:6" ht="15" thickBot="1">
      <c r="A2" s="23" t="s">
        <v>200</v>
      </c>
      <c r="B2" s="16">
        <f>D2/SUM($D$2:$E$8)</f>
        <v>6.5776262031715257E-2</v>
      </c>
      <c r="C2" s="16">
        <f>E2/SUM($D$2:$E$8)</f>
        <v>6.402776816009971E-2</v>
      </c>
      <c r="D2" s="16">
        <v>7599</v>
      </c>
      <c r="E2" s="16">
        <v>7397</v>
      </c>
      <c r="F2" s="54"/>
    </row>
    <row r="3" spans="1:6" ht="15" thickBot="1">
      <c r="A3" s="24" t="s">
        <v>201</v>
      </c>
      <c r="B3" s="16">
        <f t="shared" ref="B3:C8" si="0">D3/SUM($D$2:$E$8)</f>
        <v>6.4927982826674058E-2</v>
      </c>
      <c r="C3" s="16">
        <f t="shared" si="0"/>
        <v>5.7371373173602934E-2</v>
      </c>
      <c r="D3" s="18">
        <v>7501</v>
      </c>
      <c r="E3" s="18">
        <v>6628</v>
      </c>
      <c r="F3" s="54"/>
    </row>
    <row r="4" spans="1:6" ht="15" thickBot="1">
      <c r="A4" s="23" t="s">
        <v>202</v>
      </c>
      <c r="B4" s="16">
        <f t="shared" si="0"/>
        <v>7.3670452184751753E-2</v>
      </c>
      <c r="C4" s="16">
        <f t="shared" si="0"/>
        <v>7.0666851326085453E-2</v>
      </c>
      <c r="D4" s="16">
        <v>8511</v>
      </c>
      <c r="E4" s="16">
        <v>8164</v>
      </c>
      <c r="F4" s="54"/>
    </row>
    <row r="5" spans="1:6" ht="15" thickBot="1">
      <c r="A5" s="24" t="s">
        <v>203</v>
      </c>
      <c r="B5" s="16">
        <f t="shared" si="0"/>
        <v>0.10206183782286546</v>
      </c>
      <c r="C5" s="16">
        <f t="shared" si="0"/>
        <v>0.10276296655356278</v>
      </c>
      <c r="D5" s="18">
        <v>11791</v>
      </c>
      <c r="E5" s="18">
        <v>11872</v>
      </c>
      <c r="F5" s="54"/>
    </row>
    <row r="6" spans="1:6" ht="15" thickBot="1">
      <c r="A6" s="23" t="s">
        <v>204</v>
      </c>
      <c r="B6" s="16">
        <f>D6/SUM($D$2:$E$8)</f>
        <v>0.1218405927567343</v>
      </c>
      <c r="C6" s="16">
        <f t="shared" si="0"/>
        <v>0.12448064538466865</v>
      </c>
      <c r="D6" s="16">
        <v>14076</v>
      </c>
      <c r="E6" s="16">
        <v>14381</v>
      </c>
      <c r="F6" s="54"/>
    </row>
    <row r="7" spans="1:6" ht="15" thickBot="1">
      <c r="A7" s="24" t="s">
        <v>205</v>
      </c>
      <c r="B7" s="16">
        <f t="shared" si="0"/>
        <v>5.2844332109964684E-2</v>
      </c>
      <c r="C7" s="16">
        <f t="shared" si="0"/>
        <v>7.4709161415414449E-2</v>
      </c>
      <c r="D7" s="18">
        <v>6105</v>
      </c>
      <c r="E7" s="18">
        <v>8631</v>
      </c>
      <c r="F7" s="54"/>
    </row>
    <row r="8" spans="1:6" ht="15" thickBot="1">
      <c r="A8" s="23" t="s">
        <v>206</v>
      </c>
      <c r="B8" s="16">
        <f t="shared" si="0"/>
        <v>6.6390831659857352E-3</v>
      </c>
      <c r="C8" s="16">
        <f t="shared" si="0"/>
        <v>1.8220691087874802E-2</v>
      </c>
      <c r="D8" s="16">
        <v>767</v>
      </c>
      <c r="E8" s="16">
        <v>2105</v>
      </c>
      <c r="F8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59B2-CF27-4901-8AF3-B06A6019D3D7}">
  <dimension ref="A1:C10"/>
  <sheetViews>
    <sheetView workbookViewId="0">
      <selection activeCell="F6" sqref="F6"/>
    </sheetView>
  </sheetViews>
  <sheetFormatPr baseColWidth="10" defaultRowHeight="14.5"/>
  <sheetData>
    <row r="1" spans="1:3" ht="27">
      <c r="A1" s="25" t="s">
        <v>72</v>
      </c>
      <c r="B1" s="25" t="s">
        <v>66</v>
      </c>
      <c r="C1" s="25" t="s">
        <v>67</v>
      </c>
    </row>
    <row r="2" spans="1:3" ht="15" thickBot="1">
      <c r="A2" s="22" t="s">
        <v>68</v>
      </c>
      <c r="B2" s="15">
        <v>48690</v>
      </c>
      <c r="C2" s="15">
        <v>51592</v>
      </c>
    </row>
    <row r="3" spans="1:3" ht="18.5" thickBot="1">
      <c r="A3" s="23" t="s">
        <v>73</v>
      </c>
      <c r="B3" s="16">
        <v>3074</v>
      </c>
      <c r="C3" s="16">
        <v>1010</v>
      </c>
    </row>
    <row r="4" spans="1:3" ht="27.5" thickBot="1">
      <c r="A4" s="24" t="s">
        <v>75</v>
      </c>
      <c r="B4" s="18">
        <v>2353</v>
      </c>
      <c r="C4" s="18">
        <v>1254</v>
      </c>
    </row>
    <row r="5" spans="1:3" ht="36.5" thickBot="1">
      <c r="A5" s="23" t="s">
        <v>77</v>
      </c>
      <c r="B5" s="16">
        <v>2489</v>
      </c>
      <c r="C5" s="16">
        <v>2096</v>
      </c>
    </row>
    <row r="6" spans="1:3" ht="18.5" thickBot="1">
      <c r="A6" s="24" t="s">
        <v>79</v>
      </c>
      <c r="B6" s="18">
        <v>4624</v>
      </c>
      <c r="C6" s="18">
        <v>5548</v>
      </c>
    </row>
    <row r="7" spans="1:3" ht="15" thickBot="1">
      <c r="A7" s="23" t="s">
        <v>80</v>
      </c>
      <c r="B7" s="16">
        <v>3459</v>
      </c>
      <c r="C7" s="16">
        <v>11060</v>
      </c>
    </row>
    <row r="8" spans="1:3" ht="15" thickBot="1">
      <c r="A8" s="24" t="s">
        <v>82</v>
      </c>
      <c r="B8" s="18">
        <v>8913</v>
      </c>
      <c r="C8" s="18">
        <v>1762</v>
      </c>
    </row>
    <row r="9" spans="1:3" ht="15" thickBot="1">
      <c r="A9" s="23" t="s">
        <v>84</v>
      </c>
      <c r="B9" s="16">
        <v>18684</v>
      </c>
      <c r="C9" s="16">
        <v>22494</v>
      </c>
    </row>
    <row r="10" spans="1:3" ht="27.5" thickBot="1">
      <c r="A10" s="24" t="s">
        <v>85</v>
      </c>
      <c r="B10" s="18">
        <v>5096</v>
      </c>
      <c r="C10" s="18">
        <v>6368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1AE-37E1-416C-BAE2-E7803B5DCB6A}">
  <dimension ref="A1:C4"/>
  <sheetViews>
    <sheetView workbookViewId="0">
      <selection activeCell="D8" sqref="D8"/>
    </sheetView>
  </sheetViews>
  <sheetFormatPr baseColWidth="10" defaultRowHeight="14.5"/>
  <cols>
    <col min="1" max="1" width="19.453125" bestFit="1" customWidth="1"/>
  </cols>
  <sheetData>
    <row r="1" spans="1:3" ht="15" thickBot="1">
      <c r="A1" s="20" t="s">
        <v>209</v>
      </c>
      <c r="B1" s="21" t="s">
        <v>210</v>
      </c>
    </row>
    <row r="2" spans="1:3" ht="15" thickBot="1">
      <c r="A2" t="s">
        <v>211</v>
      </c>
      <c r="B2" s="26">
        <v>10288</v>
      </c>
      <c r="C2">
        <f t="shared" ref="C2:C3" si="0">B2/SUM($B$2:$B$4)</f>
        <v>0.31773680471910809</v>
      </c>
    </row>
    <row r="3" spans="1:3" ht="15" thickBot="1">
      <c r="A3" t="s">
        <v>212</v>
      </c>
      <c r="B3" s="15">
        <v>4813</v>
      </c>
      <c r="C3">
        <f t="shared" si="0"/>
        <v>0.148645727168844</v>
      </c>
    </row>
    <row r="4" spans="1:3" ht="15" thickBot="1">
      <c r="A4" t="s">
        <v>213</v>
      </c>
      <c r="B4" s="26">
        <v>17278</v>
      </c>
      <c r="C4">
        <f>B4/SUM($B$2:$B$4)</f>
        <v>0.53361746811204791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94E6-FC46-4FE3-8EEE-464CDA1BD595}">
  <dimension ref="A1:E35"/>
  <sheetViews>
    <sheetView workbookViewId="0">
      <selection activeCell="D36" sqref="A33:D36"/>
    </sheetView>
  </sheetViews>
  <sheetFormatPr baseColWidth="10" defaultColWidth="60.1796875" defaultRowHeight="14.5"/>
  <cols>
    <col min="1" max="1" width="8.90625" bestFit="1" customWidth="1"/>
    <col min="2" max="2" width="22.1796875" bestFit="1" customWidth="1"/>
    <col min="3" max="3" width="18.81640625" style="47" bestFit="1" customWidth="1"/>
    <col min="4" max="4" width="19.26953125" style="47" bestFit="1" customWidth="1"/>
  </cols>
  <sheetData>
    <row r="1" spans="1:5" ht="15" customHeight="1" thickBot="1">
      <c r="A1" t="s">
        <v>230</v>
      </c>
      <c r="B1" s="40" t="s">
        <v>258</v>
      </c>
      <c r="C1" s="44" t="s">
        <v>259</v>
      </c>
      <c r="D1" s="44" t="s">
        <v>260</v>
      </c>
      <c r="E1" s="41" t="s">
        <v>234</v>
      </c>
    </row>
    <row r="2" spans="1:5" ht="15" thickBot="1">
      <c r="A2" t="s">
        <v>231</v>
      </c>
      <c r="B2" s="40" t="s">
        <v>214</v>
      </c>
      <c r="C2" s="45">
        <v>7.99</v>
      </c>
      <c r="D2" s="45">
        <v>21.99</v>
      </c>
      <c r="E2" s="49" t="s">
        <v>227</v>
      </c>
    </row>
    <row r="3" spans="1:5" ht="15" thickBot="1">
      <c r="A3" t="s">
        <v>231</v>
      </c>
      <c r="B3" s="40" t="s">
        <v>215</v>
      </c>
      <c r="C3" s="45">
        <v>6.99</v>
      </c>
      <c r="D3" s="45">
        <f>C3</f>
        <v>6.99</v>
      </c>
    </row>
    <row r="4" spans="1:5" ht="15" thickBot="1">
      <c r="A4" t="s">
        <v>231</v>
      </c>
      <c r="B4" s="40" t="s">
        <v>216</v>
      </c>
      <c r="C4" s="45">
        <v>5.99</v>
      </c>
      <c r="D4" s="45">
        <v>11.99</v>
      </c>
    </row>
    <row r="5" spans="1:5" ht="15" thickBot="1">
      <c r="A5" t="s">
        <v>231</v>
      </c>
      <c r="B5" s="40" t="s">
        <v>217</v>
      </c>
      <c r="C5" s="45">
        <v>5.99</v>
      </c>
      <c r="D5" s="45">
        <v>13.99</v>
      </c>
    </row>
    <row r="6" spans="1:5" ht="15" thickBot="1">
      <c r="A6" t="s">
        <v>231</v>
      </c>
      <c r="B6" s="40" t="s">
        <v>218</v>
      </c>
      <c r="C6" s="45">
        <v>6.99</v>
      </c>
      <c r="D6" s="45">
        <f>C6</f>
        <v>6.99</v>
      </c>
    </row>
    <row r="7" spans="1:5">
      <c r="A7" t="s">
        <v>231</v>
      </c>
      <c r="B7" s="42" t="s">
        <v>219</v>
      </c>
      <c r="C7" s="46">
        <v>34.99</v>
      </c>
      <c r="D7" s="46">
        <v>45.99</v>
      </c>
    </row>
    <row r="8" spans="1:5" ht="15" thickBot="1">
      <c r="A8" t="s">
        <v>231</v>
      </c>
      <c r="B8" s="40" t="s">
        <v>220</v>
      </c>
      <c r="C8" s="45">
        <v>10.99</v>
      </c>
      <c r="D8" s="45">
        <v>12.99</v>
      </c>
    </row>
    <row r="9" spans="1:5" ht="15" thickBot="1">
      <c r="A9" t="s">
        <v>231</v>
      </c>
      <c r="B9" s="40" t="s">
        <v>221</v>
      </c>
      <c r="C9" s="45">
        <v>6.99</v>
      </c>
      <c r="D9" s="45">
        <f>C9</f>
        <v>6.99</v>
      </c>
    </row>
    <row r="10" spans="1:5" ht="15" thickBot="1">
      <c r="A10" t="s">
        <v>231</v>
      </c>
      <c r="B10" s="40" t="s">
        <v>222</v>
      </c>
      <c r="C10" s="45">
        <v>7.99</v>
      </c>
      <c r="D10" s="45">
        <f>C10</f>
        <v>7.99</v>
      </c>
    </row>
    <row r="11" spans="1:5" ht="15" thickBot="1">
      <c r="A11" t="s">
        <v>231</v>
      </c>
      <c r="B11" s="40" t="s">
        <v>223</v>
      </c>
      <c r="C11" s="45">
        <v>8.99</v>
      </c>
      <c r="D11" s="45">
        <v>13.49</v>
      </c>
    </row>
    <row r="12" spans="1:5" ht="15" thickBot="1">
      <c r="A12" t="s">
        <v>231</v>
      </c>
      <c r="B12" s="40" t="s">
        <v>224</v>
      </c>
      <c r="C12" s="45">
        <v>14.99</v>
      </c>
      <c r="D12" s="45">
        <v>19.989999999999998</v>
      </c>
    </row>
    <row r="13" spans="1:5" ht="15" thickBot="1">
      <c r="A13" t="s">
        <v>231</v>
      </c>
      <c r="B13" s="40" t="s">
        <v>225</v>
      </c>
      <c r="C13" s="45">
        <v>5.99</v>
      </c>
      <c r="D13" s="45">
        <f>C13</f>
        <v>5.99</v>
      </c>
    </row>
    <row r="14" spans="1:5">
      <c r="A14" t="s">
        <v>231</v>
      </c>
      <c r="B14" s="41" t="s">
        <v>226</v>
      </c>
      <c r="C14" s="46">
        <v>0</v>
      </c>
      <c r="D14" s="46">
        <v>0</v>
      </c>
    </row>
    <row r="15" spans="1:5" ht="275.5">
      <c r="A15" t="s">
        <v>232</v>
      </c>
      <c r="B15" t="s">
        <v>228</v>
      </c>
      <c r="C15" s="47">
        <v>19.899999999999999</v>
      </c>
      <c r="D15" s="47">
        <v>22.9</v>
      </c>
      <c r="E15" s="43" t="s">
        <v>233</v>
      </c>
    </row>
    <row r="16" spans="1:5">
      <c r="A16" t="s">
        <v>232</v>
      </c>
      <c r="B16" t="s">
        <v>229</v>
      </c>
      <c r="C16" s="47">
        <v>23.9</v>
      </c>
    </row>
    <row r="33" spans="2:3" ht="15" thickBot="1">
      <c r="B33" s="44"/>
      <c r="C33" s="44"/>
    </row>
    <row r="34" spans="2:3">
      <c r="B34" s="48"/>
      <c r="C34" s="48"/>
    </row>
    <row r="35" spans="2:3">
      <c r="B35" s="48"/>
      <c r="C35" s="48"/>
    </row>
  </sheetData>
  <hyperlinks>
    <hyperlink ref="E2" r:id="rId1" xr:uid="{50227D97-7BBE-4206-B3D1-5397E85DC8A6}"/>
  </hyperlink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2E33-6FF6-45E8-9D3B-5CCD6DFDEA30}">
  <dimension ref="A1:C3"/>
  <sheetViews>
    <sheetView workbookViewId="0">
      <selection activeCell="F7" sqref="F7"/>
    </sheetView>
  </sheetViews>
  <sheetFormatPr baseColWidth="10" defaultRowHeight="14.5"/>
  <cols>
    <col min="1" max="2" width="17.1796875" bestFit="1" customWidth="1"/>
    <col min="3" max="3" width="26.1796875" bestFit="1" customWidth="1"/>
  </cols>
  <sheetData>
    <row r="1" spans="1:3" ht="24.5" thickBot="1">
      <c r="A1" s="44" t="s">
        <v>230</v>
      </c>
      <c r="B1" s="44" t="s">
        <v>261</v>
      </c>
      <c r="C1" s="44" t="s">
        <v>262</v>
      </c>
    </row>
    <row r="2" spans="1:3">
      <c r="A2" s="48" t="s">
        <v>231</v>
      </c>
      <c r="B2" s="48">
        <v>9.6061538461538429</v>
      </c>
      <c r="C2">
        <v>17.553750000000001</v>
      </c>
    </row>
    <row r="3" spans="1:3">
      <c r="A3" s="48" t="s">
        <v>232</v>
      </c>
      <c r="B3" s="48">
        <v>21.9</v>
      </c>
      <c r="C3">
        <v>22.9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53EF-9C40-4BC7-A1B7-C5B00AFBD872}">
  <dimension ref="A1:C8"/>
  <sheetViews>
    <sheetView workbookViewId="0">
      <selection activeCell="G15" sqref="G15"/>
    </sheetView>
  </sheetViews>
  <sheetFormatPr baseColWidth="10" defaultRowHeight="14.5"/>
  <cols>
    <col min="2" max="2" width="46" bestFit="1" customWidth="1"/>
    <col min="3" max="3" width="32.7265625" bestFit="1" customWidth="1"/>
  </cols>
  <sheetData>
    <row r="1" spans="1:3">
      <c r="A1" t="s">
        <v>235</v>
      </c>
      <c r="B1" t="s">
        <v>236</v>
      </c>
      <c r="C1" t="s">
        <v>237</v>
      </c>
    </row>
    <row r="2" spans="1:3">
      <c r="A2">
        <v>2018</v>
      </c>
      <c r="B2">
        <v>48</v>
      </c>
      <c r="C2">
        <v>98</v>
      </c>
    </row>
    <row r="3" spans="1:3">
      <c r="A3">
        <v>2019</v>
      </c>
      <c r="B3">
        <v>49</v>
      </c>
      <c r="C3">
        <v>100</v>
      </c>
    </row>
    <row r="4" spans="1:3">
      <c r="A4">
        <v>2020</v>
      </c>
      <c r="B4">
        <v>20</v>
      </c>
      <c r="C4">
        <v>35</v>
      </c>
    </row>
    <row r="5" spans="1:3">
      <c r="A5">
        <v>2021</v>
      </c>
      <c r="B5">
        <v>30</v>
      </c>
      <c r="C5">
        <v>55</v>
      </c>
    </row>
    <row r="6" spans="1:3">
      <c r="A6">
        <v>2022</v>
      </c>
      <c r="B6">
        <v>44</v>
      </c>
      <c r="C6">
        <v>85</v>
      </c>
    </row>
    <row r="7" spans="1:3">
      <c r="A7">
        <v>2023</v>
      </c>
      <c r="B7">
        <v>47</v>
      </c>
      <c r="C7">
        <v>95</v>
      </c>
    </row>
    <row r="8" spans="1:3">
      <c r="A8">
        <v>2024</v>
      </c>
      <c r="B8">
        <v>49</v>
      </c>
      <c r="C8">
        <v>100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24A0-334A-4C9D-AD85-575E32396AEF}">
  <dimension ref="A1:I17"/>
  <sheetViews>
    <sheetView workbookViewId="0">
      <selection activeCell="G3" sqref="G3:I8"/>
    </sheetView>
  </sheetViews>
  <sheetFormatPr baseColWidth="10" defaultRowHeight="14.5"/>
  <sheetData>
    <row r="1" spans="1:9">
      <c r="A1" s="56" t="s">
        <v>246</v>
      </c>
      <c r="B1" s="56"/>
      <c r="C1" s="56"/>
      <c r="D1" s="56"/>
      <c r="E1" s="56"/>
    </row>
    <row r="2" spans="1:9" ht="58" customHeight="1">
      <c r="A2" s="50" t="s">
        <v>238</v>
      </c>
      <c r="B2" s="55" t="s">
        <v>239</v>
      </c>
      <c r="C2" s="55"/>
      <c r="D2" s="55" t="s">
        <v>240</v>
      </c>
      <c r="E2" s="55"/>
      <c r="G2" s="50"/>
      <c r="H2" s="50"/>
      <c r="I2" s="50"/>
    </row>
    <row r="3" spans="1:9" ht="58">
      <c r="A3" s="50"/>
      <c r="B3" s="50" t="s">
        <v>247</v>
      </c>
      <c r="C3" s="50" t="s">
        <v>248</v>
      </c>
      <c r="D3" s="50" t="s">
        <v>247</v>
      </c>
      <c r="E3" s="50" t="s">
        <v>248</v>
      </c>
      <c r="G3" s="50" t="s">
        <v>238</v>
      </c>
      <c r="H3" s="50" t="s">
        <v>239</v>
      </c>
      <c r="I3" s="50" t="s">
        <v>240</v>
      </c>
    </row>
    <row r="4" spans="1:9" ht="58">
      <c r="A4" s="52" t="s">
        <v>241</v>
      </c>
      <c r="B4" s="52">
        <v>60</v>
      </c>
      <c r="C4" s="52">
        <v>70</v>
      </c>
      <c r="D4" s="52">
        <v>20</v>
      </c>
      <c r="E4">
        <v>30</v>
      </c>
      <c r="G4" s="52" t="s">
        <v>241</v>
      </c>
      <c r="H4">
        <f>AVERAGE(B4:C4)</f>
        <v>65</v>
      </c>
      <c r="I4">
        <f>AVERAGE(D4:E4)</f>
        <v>25</v>
      </c>
    </row>
    <row r="5" spans="1:9" ht="58">
      <c r="A5" s="52" t="s">
        <v>242</v>
      </c>
      <c r="B5" s="52">
        <v>20</v>
      </c>
      <c r="C5" s="52">
        <v>30</v>
      </c>
      <c r="D5" s="52">
        <v>25</v>
      </c>
      <c r="E5">
        <v>35</v>
      </c>
      <c r="G5" s="52" t="s">
        <v>242</v>
      </c>
      <c r="H5">
        <f t="shared" ref="H5:H8" si="0">AVERAGE(B5:C5)</f>
        <v>25</v>
      </c>
      <c r="I5">
        <f t="shared" ref="I5:I8" si="1">AVERAGE(D5:E5)</f>
        <v>30</v>
      </c>
    </row>
    <row r="6" spans="1:9" ht="58">
      <c r="A6" s="52" t="s">
        <v>243</v>
      </c>
      <c r="B6" s="52">
        <v>5</v>
      </c>
      <c r="C6" s="52">
        <v>10</v>
      </c>
      <c r="D6" s="52">
        <v>40</v>
      </c>
      <c r="E6">
        <v>60</v>
      </c>
      <c r="G6" s="52" t="s">
        <v>243</v>
      </c>
      <c r="H6">
        <f t="shared" si="0"/>
        <v>7.5</v>
      </c>
      <c r="I6">
        <f t="shared" si="1"/>
        <v>50</v>
      </c>
    </row>
    <row r="7" spans="1:9" ht="43.5">
      <c r="A7" s="52" t="s">
        <v>244</v>
      </c>
      <c r="B7" s="51">
        <v>0</v>
      </c>
      <c r="C7" s="51">
        <v>2</v>
      </c>
      <c r="D7" s="51">
        <v>10</v>
      </c>
      <c r="E7" s="51">
        <v>15</v>
      </c>
      <c r="G7" s="52" t="s">
        <v>244</v>
      </c>
      <c r="H7">
        <f t="shared" si="0"/>
        <v>1</v>
      </c>
      <c r="I7">
        <f t="shared" si="1"/>
        <v>12.5</v>
      </c>
    </row>
    <row r="8" spans="1:9" ht="43.5">
      <c r="A8" s="52" t="s">
        <v>245</v>
      </c>
      <c r="B8" s="51">
        <v>0</v>
      </c>
      <c r="C8" s="51">
        <v>0.1</v>
      </c>
      <c r="D8" s="51">
        <v>5</v>
      </c>
      <c r="E8" s="51">
        <v>10</v>
      </c>
      <c r="G8" s="52" t="s">
        <v>245</v>
      </c>
      <c r="H8">
        <f t="shared" si="0"/>
        <v>0.05</v>
      </c>
      <c r="I8">
        <f t="shared" si="1"/>
        <v>7.5</v>
      </c>
    </row>
    <row r="13" spans="1:9">
      <c r="A13" s="53" t="s">
        <v>257</v>
      </c>
    </row>
    <row r="14" spans="1:9" ht="43.5">
      <c r="A14" s="50" t="s">
        <v>238</v>
      </c>
      <c r="B14" s="50" t="s">
        <v>249</v>
      </c>
      <c r="C14" s="50" t="s">
        <v>250</v>
      </c>
    </row>
    <row r="15" spans="1:9" ht="43.5">
      <c r="A15" s="51" t="s">
        <v>251</v>
      </c>
      <c r="B15" s="52">
        <v>55</v>
      </c>
      <c r="C15" s="51" t="s">
        <v>252</v>
      </c>
    </row>
    <row r="16" spans="1:9" ht="58">
      <c r="A16" s="51" t="s">
        <v>253</v>
      </c>
      <c r="B16" s="52">
        <v>35</v>
      </c>
      <c r="C16" s="51" t="s">
        <v>254</v>
      </c>
    </row>
    <row r="17" spans="1:3" ht="58">
      <c r="A17" s="51" t="s">
        <v>255</v>
      </c>
      <c r="B17" s="52">
        <v>15</v>
      </c>
      <c r="C17" s="51" t="s">
        <v>256</v>
      </c>
    </row>
  </sheetData>
  <mergeCells count="3">
    <mergeCell ref="B2:C2"/>
    <mergeCell ref="D2:E2"/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EA6C-A314-43B8-B9E8-142C547EBDBC}">
  <dimension ref="A1:C6"/>
  <sheetViews>
    <sheetView workbookViewId="0">
      <selection activeCell="E14" sqref="E14"/>
    </sheetView>
  </sheetViews>
  <sheetFormatPr baseColWidth="10" defaultRowHeight="14.5"/>
  <cols>
    <col min="1" max="1" width="31.90625" bestFit="1" customWidth="1"/>
    <col min="2" max="2" width="25.453125" bestFit="1" customWidth="1"/>
    <col min="3" max="3" width="29.54296875" bestFit="1" customWidth="1"/>
  </cols>
  <sheetData>
    <row r="1" spans="1:3">
      <c r="A1" t="s">
        <v>238</v>
      </c>
      <c r="B1" t="s">
        <v>239</v>
      </c>
      <c r="C1" t="s">
        <v>240</v>
      </c>
    </row>
    <row r="2" spans="1:3">
      <c r="A2" t="s">
        <v>241</v>
      </c>
      <c r="B2">
        <v>65</v>
      </c>
      <c r="C2">
        <v>25</v>
      </c>
    </row>
    <row r="3" spans="1:3">
      <c r="A3" t="s">
        <v>242</v>
      </c>
      <c r="B3">
        <v>25</v>
      </c>
      <c r="C3">
        <v>30</v>
      </c>
    </row>
    <row r="4" spans="1:3">
      <c r="A4" t="s">
        <v>243</v>
      </c>
      <c r="B4">
        <v>7.5</v>
      </c>
      <c r="C4">
        <v>50</v>
      </c>
    </row>
    <row r="5" spans="1:3">
      <c r="A5" t="s">
        <v>244</v>
      </c>
      <c r="B5">
        <v>1</v>
      </c>
      <c r="C5">
        <v>12.5</v>
      </c>
    </row>
    <row r="6" spans="1:3">
      <c r="A6" t="s">
        <v>245</v>
      </c>
      <c r="B6">
        <v>0.05</v>
      </c>
      <c r="C6">
        <v>7.5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E70A-CF60-4B81-B963-7A34F6132515}">
  <dimension ref="A1:B4"/>
  <sheetViews>
    <sheetView topLeftCell="G1" workbookViewId="0"/>
  </sheetViews>
  <sheetFormatPr baseColWidth="10" defaultRowHeight="14.5"/>
  <sheetData>
    <row r="1" spans="1:2" ht="43.5">
      <c r="A1" s="50" t="s">
        <v>238</v>
      </c>
      <c r="B1" s="50" t="s">
        <v>249</v>
      </c>
    </row>
    <row r="2" spans="1:2" ht="29">
      <c r="A2" s="51" t="s">
        <v>251</v>
      </c>
      <c r="B2" s="52">
        <v>55</v>
      </c>
    </row>
    <row r="3" spans="1:2" ht="29">
      <c r="A3" s="51" t="s">
        <v>253</v>
      </c>
      <c r="B3" s="52">
        <v>35</v>
      </c>
    </row>
    <row r="4" spans="1:2" ht="29">
      <c r="A4" s="51" t="s">
        <v>255</v>
      </c>
      <c r="B4" s="52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37EA-DF6A-4EF6-8DE2-87AD566D7F4A}">
  <dimension ref="A1"/>
  <sheetViews>
    <sheetView workbookViewId="0">
      <selection activeCell="L22" sqref="L22"/>
    </sheetView>
  </sheetViews>
  <sheetFormatPr baseColWidth="10"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391C-D346-455D-B958-286F3FC842B5}">
  <dimension ref="A1:D10"/>
  <sheetViews>
    <sheetView topLeftCell="D1" workbookViewId="0">
      <selection activeCell="H4" sqref="H4"/>
    </sheetView>
  </sheetViews>
  <sheetFormatPr baseColWidth="10" defaultRowHeight="14.5"/>
  <sheetData>
    <row r="1" spans="1:4" ht="15" thickBot="1">
      <c r="A1" s="20" t="s">
        <v>93</v>
      </c>
      <c r="B1" s="21" t="s">
        <v>68</v>
      </c>
      <c r="C1" s="21" t="s">
        <v>66</v>
      </c>
      <c r="D1" s="21" t="s">
        <v>67</v>
      </c>
    </row>
    <row r="2" spans="1:4" ht="27.5" thickBot="1">
      <c r="A2" s="22" t="s">
        <v>94</v>
      </c>
      <c r="B2" s="15">
        <v>94612</v>
      </c>
      <c r="C2" s="15">
        <v>45762</v>
      </c>
      <c r="D2" s="15">
        <v>48850</v>
      </c>
    </row>
    <row r="3" spans="1:4" ht="18.5" thickBot="1">
      <c r="A3" s="23" t="s">
        <v>95</v>
      </c>
      <c r="B3" s="16"/>
      <c r="C3" s="16"/>
      <c r="D3" s="16"/>
    </row>
    <row r="4" spans="1:4" ht="27.5" thickBot="1">
      <c r="A4" s="24" t="s">
        <v>96</v>
      </c>
      <c r="B4" s="18" t="s">
        <v>97</v>
      </c>
      <c r="C4" s="18" t="s">
        <v>98</v>
      </c>
      <c r="D4" s="18" t="s">
        <v>99</v>
      </c>
    </row>
    <row r="5" spans="1:4" ht="18.5" thickBot="1">
      <c r="A5" s="23" t="s">
        <v>100</v>
      </c>
      <c r="B5" s="16" t="s">
        <v>101</v>
      </c>
      <c r="C5" s="16" t="s">
        <v>102</v>
      </c>
      <c r="D5" s="16" t="s">
        <v>91</v>
      </c>
    </row>
    <row r="6" spans="1:4" ht="18.5" thickBot="1">
      <c r="A6" s="24" t="s">
        <v>103</v>
      </c>
      <c r="B6" s="18" t="s">
        <v>104</v>
      </c>
      <c r="C6" s="18" t="s">
        <v>105</v>
      </c>
      <c r="D6" s="18" t="s">
        <v>106</v>
      </c>
    </row>
    <row r="7" spans="1:4" ht="36.5" thickBot="1">
      <c r="A7" s="23" t="s">
        <v>107</v>
      </c>
      <c r="B7" s="16" t="s">
        <v>83</v>
      </c>
      <c r="C7" s="16" t="s">
        <v>108</v>
      </c>
      <c r="D7" s="16" t="s">
        <v>109</v>
      </c>
    </row>
    <row r="8" spans="1:4" ht="36.5" thickBot="1">
      <c r="A8" s="24" t="s">
        <v>110</v>
      </c>
      <c r="B8" s="18" t="s">
        <v>86</v>
      </c>
      <c r="C8" s="18" t="s">
        <v>111</v>
      </c>
      <c r="D8" s="18" t="s">
        <v>112</v>
      </c>
    </row>
    <row r="9" spans="1:4" ht="45.5" thickBot="1">
      <c r="A9" s="23" t="s">
        <v>113</v>
      </c>
      <c r="B9" s="16" t="s">
        <v>90</v>
      </c>
      <c r="C9" s="16" t="s">
        <v>81</v>
      </c>
      <c r="D9" s="16" t="s">
        <v>111</v>
      </c>
    </row>
    <row r="10" spans="1:4" ht="45.5" thickBot="1">
      <c r="A10" s="24" t="s">
        <v>114</v>
      </c>
      <c r="B10" s="18" t="s">
        <v>115</v>
      </c>
      <c r="C10" s="18" t="s">
        <v>115</v>
      </c>
      <c r="D10" s="1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Cinemas</vt:lpstr>
      <vt:lpstr>Cine_CSP_Global</vt:lpstr>
      <vt:lpstr>Cine_Age_Global</vt:lpstr>
      <vt:lpstr>Population_creuse</vt:lpstr>
      <vt:lpstr>CSP_creuse</vt:lpstr>
      <vt:lpstr>Enfants_creuse</vt:lpstr>
      <vt:lpstr>prix_streaming</vt:lpstr>
      <vt:lpstr>prix_mensuel</vt:lpstr>
      <vt:lpstr>Confiseries</vt:lpstr>
      <vt:lpstr>gen_Vs_indpts</vt:lpstr>
      <vt:lpstr>programmation</vt:lpstr>
      <vt:lpstr>movies_type_shares</vt:lpstr>
      <vt:lpstr>Prix_cine_creuse</vt:lpstr>
      <vt:lpstr>Diplome_creuse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Chadapaux</dc:creator>
  <cp:lastModifiedBy>Paul Chadapaux</cp:lastModifiedBy>
  <dcterms:created xsi:type="dcterms:W3CDTF">2025-12-10T12:57:23Z</dcterms:created>
  <dcterms:modified xsi:type="dcterms:W3CDTF">2026-01-28T14:22:38Z</dcterms:modified>
</cp:coreProperties>
</file>